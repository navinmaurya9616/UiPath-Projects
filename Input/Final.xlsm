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acros Automation\Input\"/>
    </mc:Choice>
  </mc:AlternateContent>
  <xr:revisionPtr revIDLastSave="0" documentId="13_ncr:1_{BB2E17B1-1350-412C-95F9-985D545FE2C7}" xr6:coauthVersionLast="36" xr6:coauthVersionMax="36" xr10:uidLastSave="{00000000-0000-0000-0000-000000000000}"/>
  <bookViews>
    <workbookView xWindow="0" yWindow="0" windowWidth="19200" windowHeight="6555" activeTab="1" xr2:uid="{3864B83C-6246-4098-BA36-95177A596E9A}"/>
  </bookViews>
  <sheets>
    <sheet name="Sheet1" sheetId="1" r:id="rId1"/>
    <sheet name="Sheet2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E2" i="2"/>
  <c r="D2" i="2"/>
  <c r="C2" i="2"/>
  <c r="B2" i="2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E6" i="1"/>
  <c r="E5" i="1"/>
  <c r="E4" i="1"/>
  <c r="E3" i="1"/>
  <c r="E2" i="1"/>
  <c r="B3" i="1"/>
  <c r="B2" i="1"/>
  <c r="B1" i="1"/>
</calcChain>
</file>

<file path=xl/sharedStrings.xml><?xml version="1.0" encoding="utf-8"?>
<sst xmlns="http://schemas.openxmlformats.org/spreadsheetml/2006/main" count="44" uniqueCount="39">
  <si>
    <t>No. Of Onsite</t>
  </si>
  <si>
    <t>No. Of Offsite</t>
  </si>
  <si>
    <t>Total</t>
  </si>
  <si>
    <t>Category</t>
  </si>
  <si>
    <t>Count</t>
  </si>
  <si>
    <t>Urban</t>
  </si>
  <si>
    <t>Semi-Urban</t>
  </si>
  <si>
    <t>Rural</t>
  </si>
  <si>
    <t>Metropolitan</t>
  </si>
  <si>
    <t>state</t>
  </si>
  <si>
    <t>Assam</t>
  </si>
  <si>
    <t>Bihar</t>
  </si>
  <si>
    <t>Chandigrh(UT)</t>
  </si>
  <si>
    <t>Chhattisgarh</t>
  </si>
  <si>
    <t>Goa</t>
  </si>
  <si>
    <t>Gujarat</t>
  </si>
  <si>
    <t>Haryana</t>
  </si>
  <si>
    <t>Himachal Pradesh</t>
  </si>
  <si>
    <t>Jharkhand</t>
  </si>
  <si>
    <t>Karnataka</t>
  </si>
  <si>
    <t>Kerala</t>
  </si>
  <si>
    <t>Madhya Pradesh</t>
  </si>
  <si>
    <t>Maharashtra</t>
  </si>
  <si>
    <t>Meghalaya</t>
  </si>
  <si>
    <t>New Delhi</t>
  </si>
  <si>
    <t>Odisha</t>
  </si>
  <si>
    <t>Pondicherry</t>
  </si>
  <si>
    <t>Punjab</t>
  </si>
  <si>
    <t>Rajasthan</t>
  </si>
  <si>
    <t>Tamil Nadu</t>
  </si>
  <si>
    <t>Tripura</t>
  </si>
  <si>
    <t>Uttar Pradesh</t>
  </si>
  <si>
    <t>Uttarkhand</t>
  </si>
  <si>
    <t>west Bengal</t>
  </si>
  <si>
    <t>Cassette</t>
  </si>
  <si>
    <t>Jan-Mar</t>
  </si>
  <si>
    <t>Apr-Jun</t>
  </si>
  <si>
    <t>July-Sept</t>
  </si>
  <si>
    <t>Oct-Dec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</si>
</sst>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 applyBorder="1"/>
    <xf numFmtId="0" fontId="0" fillId="0" borderId="0" xfId="0" applyBorder="1"/>
    <xf numFmtId="0" fontId="0" fillId="3" borderId="1" xfId="0" applyFill="1" applyBorder="1"/>
    <xf numFmtId="0" fontId="0" fillId="4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vin.maurya\Downloads\ATM%20and%20ACR%20April'2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5"/>
      <sheetName val="Sheet6"/>
      <sheetName val="Sheet4"/>
    </sheetNames>
    <sheetDataSet>
      <sheetData sheetId="0">
        <row r="1">
          <cell r="G1" t="str">
            <v>STATE</v>
          </cell>
          <cell r="I1" t="str">
            <v>CategoryNew</v>
          </cell>
          <cell r="J1" t="str">
            <v>ONSITE / OFFSITE</v>
          </cell>
        </row>
        <row r="2">
          <cell r="G2" t="str">
            <v>Karnataka</v>
          </cell>
          <cell r="I2" t="str">
            <v>Metropolitan</v>
          </cell>
          <cell r="J2" t="str">
            <v>Onsite</v>
          </cell>
          <cell r="M2">
            <v>4</v>
          </cell>
        </row>
        <row r="3">
          <cell r="G3" t="str">
            <v>Karnataka</v>
          </cell>
          <cell r="I3" t="str">
            <v>Metropolitan</v>
          </cell>
          <cell r="J3" t="str">
            <v>Offsite</v>
          </cell>
          <cell r="M3">
            <v>2</v>
          </cell>
        </row>
        <row r="4">
          <cell r="G4" t="str">
            <v>Karnataka</v>
          </cell>
          <cell r="I4" t="str">
            <v>Metropolitan</v>
          </cell>
          <cell r="J4" t="str">
            <v>Onsite</v>
          </cell>
          <cell r="M4">
            <v>3</v>
          </cell>
        </row>
        <row r="5">
          <cell r="G5" t="str">
            <v>Karnataka</v>
          </cell>
          <cell r="I5" t="str">
            <v>Metropolitan</v>
          </cell>
          <cell r="J5" t="str">
            <v>Onsite</v>
          </cell>
          <cell r="M5">
            <v>1</v>
          </cell>
        </row>
        <row r="6">
          <cell r="G6" t="str">
            <v>Karnataka</v>
          </cell>
          <cell r="I6" t="str">
            <v>Metropolitan</v>
          </cell>
          <cell r="J6" t="str">
            <v>Onsite</v>
          </cell>
          <cell r="M6">
            <v>0</v>
          </cell>
        </row>
        <row r="7">
          <cell r="G7" t="str">
            <v>Karnataka</v>
          </cell>
          <cell r="I7" t="str">
            <v>Metropolitan</v>
          </cell>
          <cell r="J7" t="str">
            <v>Onsite</v>
          </cell>
          <cell r="M7">
            <v>0</v>
          </cell>
        </row>
        <row r="8">
          <cell r="G8" t="str">
            <v>Karnataka</v>
          </cell>
          <cell r="I8" t="str">
            <v>Metropolitan</v>
          </cell>
          <cell r="J8" t="str">
            <v>Onsite</v>
          </cell>
          <cell r="M8">
            <v>0</v>
          </cell>
        </row>
        <row r="9">
          <cell r="G9" t="str">
            <v>Karnataka</v>
          </cell>
          <cell r="I9" t="str">
            <v>Metropolitan</v>
          </cell>
          <cell r="J9" t="str">
            <v>Onsite</v>
          </cell>
          <cell r="M9">
            <v>4</v>
          </cell>
        </row>
        <row r="10">
          <cell r="G10" t="str">
            <v>Karnataka</v>
          </cell>
          <cell r="I10" t="str">
            <v>Metropolitan</v>
          </cell>
          <cell r="J10" t="str">
            <v>Onsite</v>
          </cell>
          <cell r="M10">
            <v>0</v>
          </cell>
        </row>
        <row r="11">
          <cell r="G11" t="str">
            <v>Karnataka</v>
          </cell>
          <cell r="I11" t="str">
            <v>Metropolitan</v>
          </cell>
          <cell r="J11" t="str">
            <v>Onsite</v>
          </cell>
          <cell r="M11">
            <v>1</v>
          </cell>
        </row>
        <row r="12">
          <cell r="G12" t="str">
            <v>Karnataka</v>
          </cell>
          <cell r="I12" t="str">
            <v>Metropolitan</v>
          </cell>
          <cell r="J12" t="str">
            <v>Onsite</v>
          </cell>
          <cell r="M12">
            <v>0</v>
          </cell>
        </row>
        <row r="13">
          <cell r="G13" t="str">
            <v>Karnataka</v>
          </cell>
          <cell r="I13" t="str">
            <v>Metropolitan</v>
          </cell>
          <cell r="J13" t="str">
            <v>Onsite</v>
          </cell>
          <cell r="M13">
            <v>4</v>
          </cell>
        </row>
        <row r="14">
          <cell r="G14" t="str">
            <v>Karnataka</v>
          </cell>
          <cell r="I14" t="str">
            <v>Semi-Urban</v>
          </cell>
          <cell r="J14" t="str">
            <v>Onsite</v>
          </cell>
          <cell r="M14">
            <v>0</v>
          </cell>
        </row>
        <row r="15">
          <cell r="G15" t="str">
            <v>Karnataka</v>
          </cell>
          <cell r="I15" t="str">
            <v>Urban</v>
          </cell>
          <cell r="J15" t="str">
            <v>Onsite</v>
          </cell>
          <cell r="M15">
            <v>0</v>
          </cell>
        </row>
        <row r="16">
          <cell r="G16" t="str">
            <v>Karnataka</v>
          </cell>
          <cell r="I16" t="str">
            <v>Semi-Urban</v>
          </cell>
          <cell r="J16" t="str">
            <v>Onsite</v>
          </cell>
          <cell r="M16">
            <v>0</v>
          </cell>
        </row>
        <row r="17">
          <cell r="G17" t="str">
            <v>Karnataka</v>
          </cell>
          <cell r="I17" t="str">
            <v>Metropolitan</v>
          </cell>
          <cell r="J17" t="str">
            <v>Onsite</v>
          </cell>
          <cell r="M17">
            <v>1</v>
          </cell>
        </row>
        <row r="18">
          <cell r="G18" t="str">
            <v>Karnataka</v>
          </cell>
          <cell r="I18" t="str">
            <v>Metropolitan</v>
          </cell>
          <cell r="J18" t="str">
            <v>Onsite</v>
          </cell>
          <cell r="M18">
            <v>1</v>
          </cell>
        </row>
        <row r="19">
          <cell r="G19" t="str">
            <v>Karnataka</v>
          </cell>
          <cell r="I19" t="str">
            <v>Semi-Urban</v>
          </cell>
          <cell r="J19" t="str">
            <v>Onsite</v>
          </cell>
          <cell r="M19">
            <v>1</v>
          </cell>
        </row>
        <row r="20">
          <cell r="G20" t="str">
            <v>Karnataka</v>
          </cell>
          <cell r="I20" t="str">
            <v>Semi-Urban</v>
          </cell>
          <cell r="J20" t="str">
            <v>Onsite</v>
          </cell>
          <cell r="M20">
            <v>1</v>
          </cell>
        </row>
        <row r="21">
          <cell r="G21" t="str">
            <v>Karnataka</v>
          </cell>
          <cell r="I21" t="str">
            <v>Metropolitan</v>
          </cell>
          <cell r="J21" t="str">
            <v>Onsite</v>
          </cell>
          <cell r="M21">
            <v>1</v>
          </cell>
        </row>
        <row r="22">
          <cell r="G22" t="str">
            <v>Karnataka</v>
          </cell>
          <cell r="I22" t="str">
            <v>Urban</v>
          </cell>
          <cell r="J22" t="str">
            <v>Onsite</v>
          </cell>
          <cell r="M22">
            <v>1</v>
          </cell>
        </row>
        <row r="23">
          <cell r="G23" t="str">
            <v>Tamil Nadu</v>
          </cell>
          <cell r="I23" t="str">
            <v>Urban</v>
          </cell>
          <cell r="J23" t="str">
            <v>Onsite</v>
          </cell>
          <cell r="M23">
            <v>1</v>
          </cell>
        </row>
        <row r="24">
          <cell r="G24" t="str">
            <v>Karnataka</v>
          </cell>
          <cell r="I24" t="str">
            <v>Urban</v>
          </cell>
          <cell r="J24" t="str">
            <v>Onsite</v>
          </cell>
          <cell r="M24">
            <v>0</v>
          </cell>
        </row>
        <row r="25">
          <cell r="G25" t="str">
            <v>Karnataka</v>
          </cell>
          <cell r="I25" t="str">
            <v>Urban</v>
          </cell>
          <cell r="J25" t="str">
            <v>Onsite</v>
          </cell>
          <cell r="M25">
            <v>0</v>
          </cell>
        </row>
        <row r="26">
          <cell r="G26" t="str">
            <v>Tamil Nadu</v>
          </cell>
          <cell r="I26" t="str">
            <v>Semi-Urban</v>
          </cell>
          <cell r="J26" t="str">
            <v>Onsite</v>
          </cell>
          <cell r="M26">
            <v>0</v>
          </cell>
        </row>
        <row r="27">
          <cell r="G27" t="str">
            <v>Karnataka</v>
          </cell>
          <cell r="I27" t="str">
            <v>Semi-Urban</v>
          </cell>
          <cell r="J27" t="str">
            <v>Onsite</v>
          </cell>
          <cell r="M27">
            <v>0</v>
          </cell>
        </row>
        <row r="28">
          <cell r="G28" t="str">
            <v>Karnataka</v>
          </cell>
          <cell r="I28" t="str">
            <v>Urban</v>
          </cell>
          <cell r="J28" t="str">
            <v>Onsite</v>
          </cell>
          <cell r="M28">
            <v>0</v>
          </cell>
        </row>
        <row r="29">
          <cell r="G29" t="str">
            <v>Karnataka</v>
          </cell>
          <cell r="I29" t="str">
            <v>Urban</v>
          </cell>
          <cell r="J29" t="str">
            <v>Onsite</v>
          </cell>
          <cell r="M29">
            <v>0</v>
          </cell>
        </row>
        <row r="30">
          <cell r="G30" t="str">
            <v>Karnataka</v>
          </cell>
          <cell r="I30" t="str">
            <v>Urban</v>
          </cell>
          <cell r="J30" t="str">
            <v>Onsite</v>
          </cell>
          <cell r="M30">
            <v>0</v>
          </cell>
        </row>
        <row r="31">
          <cell r="G31" t="str">
            <v>Tamil Nadu</v>
          </cell>
          <cell r="I31" t="str">
            <v>Semi-Urban</v>
          </cell>
          <cell r="J31" t="str">
            <v>Onsite</v>
          </cell>
          <cell r="M31">
            <v>0</v>
          </cell>
        </row>
        <row r="32">
          <cell r="G32" t="str">
            <v>Karnataka</v>
          </cell>
          <cell r="I32" t="str">
            <v>Semi-Urban</v>
          </cell>
          <cell r="J32" t="str">
            <v>Onsite</v>
          </cell>
          <cell r="M32">
            <v>0</v>
          </cell>
        </row>
        <row r="33">
          <cell r="G33" t="str">
            <v>Karnataka</v>
          </cell>
          <cell r="I33" t="str">
            <v>Urban</v>
          </cell>
          <cell r="J33" t="str">
            <v>Onsite</v>
          </cell>
          <cell r="M33">
            <v>0</v>
          </cell>
        </row>
        <row r="34">
          <cell r="G34" t="str">
            <v>Karnataka</v>
          </cell>
          <cell r="I34" t="str">
            <v>Semi-Urban</v>
          </cell>
          <cell r="J34" t="str">
            <v>Onsite</v>
          </cell>
          <cell r="M34">
            <v>0</v>
          </cell>
        </row>
        <row r="35">
          <cell r="G35" t="str">
            <v>Karnataka</v>
          </cell>
          <cell r="I35" t="str">
            <v>Urban</v>
          </cell>
          <cell r="J35" t="str">
            <v>Onsite</v>
          </cell>
          <cell r="M35">
            <v>0</v>
          </cell>
        </row>
        <row r="36">
          <cell r="G36" t="str">
            <v>Karnataka</v>
          </cell>
          <cell r="I36" t="str">
            <v>Urban</v>
          </cell>
          <cell r="J36" t="str">
            <v>Onsite</v>
          </cell>
          <cell r="M36">
            <v>0</v>
          </cell>
        </row>
        <row r="37">
          <cell r="G37" t="str">
            <v>Karnataka</v>
          </cell>
          <cell r="I37" t="str">
            <v>Semi-Urban</v>
          </cell>
          <cell r="J37" t="str">
            <v>Onsite</v>
          </cell>
          <cell r="M37">
            <v>3</v>
          </cell>
        </row>
        <row r="38">
          <cell r="G38" t="str">
            <v>Karnataka</v>
          </cell>
          <cell r="I38" t="str">
            <v>Urban</v>
          </cell>
          <cell r="J38" t="str">
            <v>Onsite</v>
          </cell>
          <cell r="M38">
            <v>3</v>
          </cell>
        </row>
        <row r="39">
          <cell r="G39" t="str">
            <v>Tamil Nadu</v>
          </cell>
          <cell r="I39" t="str">
            <v>Semi-Urban</v>
          </cell>
          <cell r="J39" t="str">
            <v>Onsite</v>
          </cell>
          <cell r="M39">
            <v>3</v>
          </cell>
        </row>
        <row r="40">
          <cell r="G40" t="str">
            <v>Karnataka</v>
          </cell>
          <cell r="I40" t="str">
            <v>Semi-Urban</v>
          </cell>
          <cell r="J40" t="str">
            <v>Onsite</v>
          </cell>
          <cell r="M40">
            <v>3</v>
          </cell>
        </row>
        <row r="41">
          <cell r="G41" t="str">
            <v>Karnataka</v>
          </cell>
          <cell r="I41" t="str">
            <v>Metropolitan</v>
          </cell>
          <cell r="J41" t="str">
            <v>Onsite</v>
          </cell>
          <cell r="M41">
            <v>3</v>
          </cell>
        </row>
        <row r="42">
          <cell r="G42" t="str">
            <v>Karnataka</v>
          </cell>
          <cell r="I42" t="str">
            <v>Semi-Urban</v>
          </cell>
          <cell r="J42" t="str">
            <v>Onsite</v>
          </cell>
          <cell r="M42">
            <v>3</v>
          </cell>
        </row>
        <row r="43">
          <cell r="G43" t="str">
            <v>Tamil Nadu</v>
          </cell>
          <cell r="I43" t="str">
            <v>Semi-Urban</v>
          </cell>
          <cell r="J43" t="str">
            <v>Onsite</v>
          </cell>
          <cell r="M43">
            <v>3</v>
          </cell>
        </row>
        <row r="44">
          <cell r="G44" t="str">
            <v>Karnataka</v>
          </cell>
          <cell r="I44" t="str">
            <v>Semi-Urban</v>
          </cell>
          <cell r="J44" t="str">
            <v>Onsite</v>
          </cell>
          <cell r="M44">
            <v>3</v>
          </cell>
        </row>
        <row r="45">
          <cell r="G45" t="str">
            <v>Tamil Nadu</v>
          </cell>
          <cell r="I45" t="str">
            <v>Semi-Urban</v>
          </cell>
          <cell r="J45" t="str">
            <v>Onsite</v>
          </cell>
          <cell r="M45">
            <v>3</v>
          </cell>
        </row>
        <row r="46">
          <cell r="G46" t="str">
            <v>Karnataka</v>
          </cell>
          <cell r="I46" t="str">
            <v>Semi-Urban</v>
          </cell>
          <cell r="J46" t="str">
            <v>Onsite</v>
          </cell>
          <cell r="M46">
            <v>3</v>
          </cell>
        </row>
        <row r="47">
          <cell r="G47" t="str">
            <v>Karnataka</v>
          </cell>
          <cell r="I47" t="str">
            <v>Urban</v>
          </cell>
          <cell r="J47" t="str">
            <v>Onsite</v>
          </cell>
          <cell r="M47">
            <v>3</v>
          </cell>
        </row>
        <row r="48">
          <cell r="G48" t="str">
            <v>Karnataka</v>
          </cell>
          <cell r="I48" t="str">
            <v>Semi-Urban</v>
          </cell>
          <cell r="J48" t="str">
            <v>Onsite</v>
          </cell>
          <cell r="M48">
            <v>3</v>
          </cell>
        </row>
        <row r="49">
          <cell r="G49" t="str">
            <v>Karnataka</v>
          </cell>
          <cell r="I49" t="str">
            <v>Semi-Urban</v>
          </cell>
          <cell r="J49" t="str">
            <v>Onsite</v>
          </cell>
          <cell r="M49">
            <v>3</v>
          </cell>
        </row>
        <row r="50">
          <cell r="G50" t="str">
            <v>Tamil Nadu</v>
          </cell>
          <cell r="I50" t="str">
            <v>Urban</v>
          </cell>
          <cell r="J50" t="str">
            <v>Onsite</v>
          </cell>
          <cell r="M50">
            <v>3</v>
          </cell>
        </row>
        <row r="51">
          <cell r="G51" t="str">
            <v>Karnataka</v>
          </cell>
          <cell r="I51" t="str">
            <v>Semi-Urban</v>
          </cell>
          <cell r="J51" t="str">
            <v>Onsite</v>
          </cell>
          <cell r="M51">
            <v>3</v>
          </cell>
        </row>
        <row r="52">
          <cell r="G52" t="str">
            <v>Tamil Nadu</v>
          </cell>
          <cell r="I52" t="str">
            <v>Urban</v>
          </cell>
          <cell r="J52" t="str">
            <v>Onsite</v>
          </cell>
          <cell r="M52">
            <v>3</v>
          </cell>
        </row>
        <row r="53">
          <cell r="G53" t="str">
            <v>Karnataka</v>
          </cell>
          <cell r="I53" t="str">
            <v>Metropolitan</v>
          </cell>
          <cell r="J53" t="str">
            <v>Onsite</v>
          </cell>
          <cell r="M53">
            <v>3</v>
          </cell>
        </row>
        <row r="54">
          <cell r="G54" t="str">
            <v>Tamil Nadu</v>
          </cell>
          <cell r="I54" t="str">
            <v>Urban</v>
          </cell>
          <cell r="J54" t="str">
            <v>Onsite</v>
          </cell>
          <cell r="M54">
            <v>3</v>
          </cell>
        </row>
        <row r="55">
          <cell r="G55" t="str">
            <v>Tamil Nadu</v>
          </cell>
          <cell r="I55" t="str">
            <v>Urban</v>
          </cell>
          <cell r="J55" t="str">
            <v>Onsite</v>
          </cell>
          <cell r="M55">
            <v>3</v>
          </cell>
        </row>
        <row r="56">
          <cell r="G56" t="str">
            <v>Karnataka</v>
          </cell>
          <cell r="I56" t="str">
            <v>Metropolitan</v>
          </cell>
          <cell r="J56" t="str">
            <v>Onsite</v>
          </cell>
          <cell r="M56">
            <v>3</v>
          </cell>
        </row>
        <row r="57">
          <cell r="G57" t="str">
            <v>Karnataka</v>
          </cell>
          <cell r="I57" t="str">
            <v>Semi-Urban</v>
          </cell>
          <cell r="J57" t="str">
            <v>Onsite</v>
          </cell>
          <cell r="M57">
            <v>3</v>
          </cell>
        </row>
        <row r="58">
          <cell r="G58" t="str">
            <v>Tamil Nadu</v>
          </cell>
          <cell r="I58" t="str">
            <v>Semi-Urban</v>
          </cell>
          <cell r="J58" t="str">
            <v>Onsite</v>
          </cell>
          <cell r="M58">
            <v>3</v>
          </cell>
        </row>
        <row r="59">
          <cell r="G59" t="str">
            <v>Tamil Nadu</v>
          </cell>
          <cell r="I59" t="str">
            <v>Semi-Urban</v>
          </cell>
          <cell r="J59" t="str">
            <v>Onsite</v>
          </cell>
          <cell r="M59">
            <v>3</v>
          </cell>
        </row>
        <row r="60">
          <cell r="G60" t="str">
            <v>Tamil Nadu</v>
          </cell>
          <cell r="I60" t="str">
            <v>Semi-Urban</v>
          </cell>
          <cell r="J60" t="str">
            <v>Onsite</v>
          </cell>
          <cell r="M60">
            <v>0</v>
          </cell>
        </row>
        <row r="61">
          <cell r="G61" t="str">
            <v>Tamil Nadu</v>
          </cell>
          <cell r="I61" t="str">
            <v>Semi-Urban</v>
          </cell>
          <cell r="J61" t="str">
            <v>Onsite</v>
          </cell>
          <cell r="M61">
            <v>0</v>
          </cell>
        </row>
        <row r="62">
          <cell r="G62" t="str">
            <v>Tamil Nadu</v>
          </cell>
          <cell r="I62" t="str">
            <v>Semi-Urban</v>
          </cell>
          <cell r="J62" t="str">
            <v>Onsite</v>
          </cell>
          <cell r="M62">
            <v>0</v>
          </cell>
        </row>
        <row r="63">
          <cell r="G63" t="str">
            <v>Tamil Nadu</v>
          </cell>
          <cell r="I63" t="str">
            <v>Metropolitan</v>
          </cell>
          <cell r="J63" t="str">
            <v>Onsite</v>
          </cell>
          <cell r="M63">
            <v>0</v>
          </cell>
        </row>
        <row r="64">
          <cell r="G64" t="str">
            <v>Tamil Nadu</v>
          </cell>
          <cell r="I64" t="str">
            <v>Metropolitan</v>
          </cell>
          <cell r="J64" t="str">
            <v>Onsite</v>
          </cell>
          <cell r="M64">
            <v>0</v>
          </cell>
        </row>
        <row r="65">
          <cell r="G65" t="str">
            <v>Tamil Nadu</v>
          </cell>
          <cell r="I65" t="str">
            <v>Semi-Urban</v>
          </cell>
          <cell r="J65" t="str">
            <v>Onsite</v>
          </cell>
          <cell r="M65">
            <v>0</v>
          </cell>
        </row>
        <row r="66">
          <cell r="G66" t="str">
            <v>Tamil Nadu</v>
          </cell>
          <cell r="I66" t="str">
            <v>Semi-Urban</v>
          </cell>
          <cell r="J66" t="str">
            <v>Onsite</v>
          </cell>
          <cell r="M66">
            <v>0</v>
          </cell>
        </row>
        <row r="67">
          <cell r="G67" t="str">
            <v>Tamil Nadu</v>
          </cell>
          <cell r="I67" t="str">
            <v>Semi-Urban</v>
          </cell>
          <cell r="J67" t="str">
            <v>Onsite</v>
          </cell>
          <cell r="M67">
            <v>0</v>
          </cell>
        </row>
        <row r="68">
          <cell r="G68" t="str">
            <v>Kerala</v>
          </cell>
          <cell r="I68" t="str">
            <v>Urban</v>
          </cell>
          <cell r="J68" t="str">
            <v>Onsite</v>
          </cell>
          <cell r="M68">
            <v>0</v>
          </cell>
        </row>
        <row r="69">
          <cell r="G69" t="str">
            <v>Kerala</v>
          </cell>
          <cell r="I69" t="str">
            <v>Urban</v>
          </cell>
          <cell r="J69" t="str">
            <v>Onsite</v>
          </cell>
          <cell r="M69">
            <v>0</v>
          </cell>
        </row>
        <row r="70">
          <cell r="G70" t="str">
            <v>Tamil Nadu</v>
          </cell>
          <cell r="I70" t="str">
            <v>Semi-Urban</v>
          </cell>
          <cell r="J70" t="str">
            <v>Onsite</v>
          </cell>
          <cell r="M70">
            <v>0</v>
          </cell>
        </row>
        <row r="71">
          <cell r="G71" t="str">
            <v>Pondicherry</v>
          </cell>
          <cell r="I71" t="str">
            <v>Urban</v>
          </cell>
          <cell r="J71" t="str">
            <v>Onsite</v>
          </cell>
          <cell r="M71">
            <v>0</v>
          </cell>
        </row>
        <row r="72">
          <cell r="G72" t="str">
            <v>Tamil Nadu</v>
          </cell>
          <cell r="I72" t="str">
            <v>Semi-Urban</v>
          </cell>
          <cell r="J72" t="str">
            <v>Onsite</v>
          </cell>
          <cell r="M72">
            <v>0</v>
          </cell>
        </row>
        <row r="73">
          <cell r="G73" t="str">
            <v>Tamil Nadu</v>
          </cell>
          <cell r="I73" t="str">
            <v>Semi-Urban</v>
          </cell>
          <cell r="J73" t="str">
            <v>Onsite</v>
          </cell>
          <cell r="M73">
            <v>0</v>
          </cell>
        </row>
        <row r="74">
          <cell r="G74" t="str">
            <v>Kerala</v>
          </cell>
          <cell r="I74" t="str">
            <v>Semi-Urban</v>
          </cell>
          <cell r="J74" t="str">
            <v>Onsite</v>
          </cell>
          <cell r="M74">
            <v>0</v>
          </cell>
        </row>
        <row r="75">
          <cell r="G75" t="str">
            <v>Kerala</v>
          </cell>
          <cell r="I75" t="str">
            <v>Semi-Urban</v>
          </cell>
          <cell r="J75" t="str">
            <v>Onsite</v>
          </cell>
          <cell r="M75">
            <v>0</v>
          </cell>
        </row>
        <row r="76">
          <cell r="G76" t="str">
            <v>Kerala</v>
          </cell>
          <cell r="I76" t="str">
            <v>Semi-Urban</v>
          </cell>
          <cell r="J76" t="str">
            <v>Onsite</v>
          </cell>
          <cell r="M76">
            <v>0</v>
          </cell>
        </row>
        <row r="77">
          <cell r="G77" t="str">
            <v>Tamil Nadu</v>
          </cell>
          <cell r="I77" t="str">
            <v>Urban</v>
          </cell>
          <cell r="J77" t="str">
            <v>Onsite</v>
          </cell>
          <cell r="M77">
            <v>0</v>
          </cell>
        </row>
        <row r="78">
          <cell r="G78" t="str">
            <v>Tamil Nadu</v>
          </cell>
          <cell r="I78" t="str">
            <v>Semi-Urban</v>
          </cell>
          <cell r="J78" t="str">
            <v>Onsite</v>
          </cell>
          <cell r="M78">
            <v>0</v>
          </cell>
        </row>
        <row r="79">
          <cell r="G79" t="str">
            <v>Tamil Nadu</v>
          </cell>
          <cell r="I79" t="str">
            <v>Semi-Urban</v>
          </cell>
          <cell r="J79" t="str">
            <v>Onsite</v>
          </cell>
          <cell r="M79">
            <v>0</v>
          </cell>
        </row>
        <row r="80">
          <cell r="G80" t="str">
            <v>Tamil Nadu</v>
          </cell>
          <cell r="I80" t="str">
            <v>Urban</v>
          </cell>
          <cell r="J80" t="str">
            <v>Onsite</v>
          </cell>
          <cell r="M80">
            <v>0</v>
          </cell>
        </row>
        <row r="81">
          <cell r="G81" t="str">
            <v>Tamil Nadu</v>
          </cell>
          <cell r="I81" t="str">
            <v>Semi-Urban</v>
          </cell>
          <cell r="J81" t="str">
            <v>Onsite</v>
          </cell>
          <cell r="M81">
            <v>0</v>
          </cell>
        </row>
        <row r="82">
          <cell r="G82" t="str">
            <v>Tamil Nadu</v>
          </cell>
          <cell r="I82" t="str">
            <v>Semi-Urban</v>
          </cell>
          <cell r="J82" t="str">
            <v>Onsite</v>
          </cell>
          <cell r="M82">
            <v>0</v>
          </cell>
        </row>
        <row r="83">
          <cell r="G83" t="str">
            <v>Tamil Nadu</v>
          </cell>
          <cell r="I83" t="str">
            <v>Semi-Urban</v>
          </cell>
          <cell r="J83" t="str">
            <v>Onsite</v>
          </cell>
          <cell r="M83">
            <v>0</v>
          </cell>
        </row>
        <row r="84">
          <cell r="G84" t="str">
            <v>Kerala</v>
          </cell>
          <cell r="I84" t="str">
            <v>Urban</v>
          </cell>
          <cell r="J84" t="str">
            <v>Onsite</v>
          </cell>
          <cell r="M84">
            <v>0</v>
          </cell>
        </row>
        <row r="85">
          <cell r="G85" t="str">
            <v>Kerala</v>
          </cell>
          <cell r="I85" t="str">
            <v>Urban</v>
          </cell>
          <cell r="J85" t="str">
            <v>Onsite</v>
          </cell>
          <cell r="M85">
            <v>0</v>
          </cell>
        </row>
        <row r="86">
          <cell r="G86" t="str">
            <v>Goa</v>
          </cell>
          <cell r="I86" t="str">
            <v>Semi-Urban</v>
          </cell>
          <cell r="J86" t="str">
            <v>Onsite</v>
          </cell>
          <cell r="M86">
            <v>0</v>
          </cell>
        </row>
        <row r="87">
          <cell r="G87" t="str">
            <v>Kerala</v>
          </cell>
          <cell r="I87" t="str">
            <v>Urban</v>
          </cell>
          <cell r="J87" t="str">
            <v>Onsite</v>
          </cell>
          <cell r="M87">
            <v>0</v>
          </cell>
        </row>
        <row r="88">
          <cell r="G88" t="str">
            <v>Kerala</v>
          </cell>
          <cell r="I88" t="str">
            <v>Semi-Urban</v>
          </cell>
          <cell r="J88" t="str">
            <v>Onsite</v>
          </cell>
          <cell r="M88">
            <v>0</v>
          </cell>
        </row>
        <row r="89">
          <cell r="G89" t="str">
            <v>Kerala</v>
          </cell>
          <cell r="I89" t="str">
            <v>Urban</v>
          </cell>
          <cell r="J89" t="str">
            <v>Onsite</v>
          </cell>
          <cell r="M89">
            <v>0</v>
          </cell>
        </row>
        <row r="90">
          <cell r="G90" t="str">
            <v>Karnataka</v>
          </cell>
          <cell r="I90" t="str">
            <v>Semi-Urban</v>
          </cell>
          <cell r="J90" t="str">
            <v>Onsite</v>
          </cell>
          <cell r="M90">
            <v>0</v>
          </cell>
        </row>
        <row r="91">
          <cell r="G91" t="str">
            <v>Tamil Nadu</v>
          </cell>
          <cell r="I91" t="str">
            <v>Semi-Urban</v>
          </cell>
          <cell r="J91" t="str">
            <v>Onsite</v>
          </cell>
          <cell r="M91">
            <v>0</v>
          </cell>
        </row>
        <row r="92">
          <cell r="G92" t="str">
            <v>Tamil Nadu</v>
          </cell>
          <cell r="I92" t="str">
            <v>Urban</v>
          </cell>
          <cell r="J92" t="str">
            <v>Onsite</v>
          </cell>
          <cell r="M92">
            <v>0</v>
          </cell>
        </row>
        <row r="93">
          <cell r="G93" t="str">
            <v>Karnataka</v>
          </cell>
          <cell r="I93" t="str">
            <v>Semi-Urban</v>
          </cell>
          <cell r="J93" t="str">
            <v>Onsite</v>
          </cell>
          <cell r="M93">
            <v>0</v>
          </cell>
        </row>
        <row r="94">
          <cell r="G94" t="str">
            <v>Karnataka</v>
          </cell>
          <cell r="I94" t="str">
            <v>Rural</v>
          </cell>
          <cell r="J94" t="str">
            <v>Onsite</v>
          </cell>
          <cell r="M94">
            <v>0</v>
          </cell>
        </row>
        <row r="95">
          <cell r="G95" t="str">
            <v>Tamil Nadu</v>
          </cell>
          <cell r="I95" t="str">
            <v>Urban</v>
          </cell>
          <cell r="J95" t="str">
            <v>Onsite</v>
          </cell>
          <cell r="M95">
            <v>0</v>
          </cell>
        </row>
        <row r="96">
          <cell r="G96" t="str">
            <v>Karnataka</v>
          </cell>
          <cell r="I96" t="str">
            <v>Semi-Urban</v>
          </cell>
          <cell r="J96" t="str">
            <v>Onsite</v>
          </cell>
          <cell r="M96">
            <v>0</v>
          </cell>
        </row>
        <row r="97">
          <cell r="G97" t="str">
            <v>Karnataka</v>
          </cell>
          <cell r="I97" t="str">
            <v>Semi-Urban</v>
          </cell>
          <cell r="J97" t="str">
            <v>Onsite</v>
          </cell>
          <cell r="M97">
            <v>0</v>
          </cell>
        </row>
        <row r="98">
          <cell r="G98" t="str">
            <v>Tamil Nadu</v>
          </cell>
          <cell r="I98" t="str">
            <v>Semi-Urban</v>
          </cell>
          <cell r="J98" t="str">
            <v>Onsite</v>
          </cell>
          <cell r="M98">
            <v>0</v>
          </cell>
        </row>
        <row r="99">
          <cell r="G99" t="str">
            <v>Karnataka</v>
          </cell>
          <cell r="I99" t="str">
            <v>Metropolitan</v>
          </cell>
          <cell r="J99" t="str">
            <v>Onsite</v>
          </cell>
          <cell r="M99">
            <v>0</v>
          </cell>
        </row>
        <row r="100">
          <cell r="G100" t="str">
            <v>Kerala</v>
          </cell>
          <cell r="I100" t="str">
            <v>Semi-Urban</v>
          </cell>
          <cell r="J100" t="str">
            <v>Onsite</v>
          </cell>
          <cell r="M100">
            <v>0</v>
          </cell>
        </row>
        <row r="101">
          <cell r="G101" t="str">
            <v>Karnataka</v>
          </cell>
          <cell r="I101" t="str">
            <v>Semi-Urban</v>
          </cell>
          <cell r="J101" t="str">
            <v>Onsite</v>
          </cell>
          <cell r="M101">
            <v>0</v>
          </cell>
        </row>
        <row r="102">
          <cell r="G102" t="str">
            <v>Tamil Nadu</v>
          </cell>
          <cell r="I102" t="str">
            <v>Semi-Urban</v>
          </cell>
          <cell r="J102" t="str">
            <v>Onsite</v>
          </cell>
          <cell r="M102">
            <v>0</v>
          </cell>
        </row>
        <row r="103">
          <cell r="G103" t="str">
            <v>Tamil Nadu</v>
          </cell>
          <cell r="I103" t="str">
            <v>Semi-Urban</v>
          </cell>
          <cell r="J103" t="str">
            <v>Onsite</v>
          </cell>
          <cell r="M103">
            <v>0</v>
          </cell>
        </row>
        <row r="104">
          <cell r="G104" t="str">
            <v>Karnataka</v>
          </cell>
          <cell r="I104" t="str">
            <v>Semi-Urban</v>
          </cell>
          <cell r="J104" t="str">
            <v>Onsite</v>
          </cell>
          <cell r="M104">
            <v>0</v>
          </cell>
        </row>
        <row r="105">
          <cell r="G105" t="str">
            <v>Kerala</v>
          </cell>
          <cell r="I105" t="str">
            <v>Semi-Urban</v>
          </cell>
          <cell r="J105" t="str">
            <v>Onsite</v>
          </cell>
          <cell r="M105">
            <v>0</v>
          </cell>
        </row>
        <row r="106">
          <cell r="G106" t="str">
            <v>Tamil Nadu</v>
          </cell>
          <cell r="I106" t="str">
            <v>Semi-Urban</v>
          </cell>
          <cell r="J106" t="str">
            <v>Onsite</v>
          </cell>
          <cell r="M106">
            <v>0</v>
          </cell>
        </row>
        <row r="107">
          <cell r="G107" t="str">
            <v>Karnataka</v>
          </cell>
          <cell r="I107" t="str">
            <v>Semi-Urban</v>
          </cell>
          <cell r="J107" t="str">
            <v>Onsite</v>
          </cell>
          <cell r="M107">
            <v>0</v>
          </cell>
        </row>
        <row r="108">
          <cell r="G108" t="str">
            <v>Karnataka</v>
          </cell>
          <cell r="I108" t="str">
            <v>Semi-Urban</v>
          </cell>
          <cell r="J108" t="str">
            <v>Onsite</v>
          </cell>
          <cell r="M108">
            <v>0</v>
          </cell>
        </row>
        <row r="109">
          <cell r="G109" t="str">
            <v>Tamil Nadu</v>
          </cell>
          <cell r="I109" t="str">
            <v>Urban</v>
          </cell>
          <cell r="J109" t="str">
            <v>Onsite</v>
          </cell>
          <cell r="M109">
            <v>0</v>
          </cell>
        </row>
        <row r="110">
          <cell r="G110" t="str">
            <v>Karnataka</v>
          </cell>
          <cell r="I110" t="str">
            <v>Semi-Urban</v>
          </cell>
          <cell r="J110" t="str">
            <v>Onsite</v>
          </cell>
          <cell r="M110">
            <v>0</v>
          </cell>
        </row>
        <row r="111">
          <cell r="G111" t="str">
            <v>Tamil Nadu</v>
          </cell>
          <cell r="I111" t="str">
            <v>Urban</v>
          </cell>
          <cell r="J111" t="str">
            <v>Onsite</v>
          </cell>
          <cell r="M111">
            <v>0</v>
          </cell>
        </row>
        <row r="112">
          <cell r="G112" t="str">
            <v>Tamil Nadu</v>
          </cell>
          <cell r="I112" t="str">
            <v>Semi-Urban</v>
          </cell>
          <cell r="J112" t="str">
            <v>Onsite</v>
          </cell>
          <cell r="M112">
            <v>0</v>
          </cell>
        </row>
        <row r="113">
          <cell r="G113" t="str">
            <v>Tamil Nadu</v>
          </cell>
          <cell r="I113" t="str">
            <v>Semi-Urban</v>
          </cell>
          <cell r="J113" t="str">
            <v>Onsite</v>
          </cell>
          <cell r="M113">
            <v>0</v>
          </cell>
        </row>
        <row r="114">
          <cell r="G114" t="str">
            <v>Tamil Nadu</v>
          </cell>
          <cell r="I114" t="str">
            <v>Semi-Urban</v>
          </cell>
          <cell r="J114" t="str">
            <v>Onsite</v>
          </cell>
          <cell r="M114">
            <v>0</v>
          </cell>
        </row>
        <row r="115">
          <cell r="G115" t="str">
            <v>Karnataka</v>
          </cell>
          <cell r="I115" t="str">
            <v>Semi-Urban</v>
          </cell>
          <cell r="J115" t="str">
            <v>Onsite</v>
          </cell>
          <cell r="M115">
            <v>0</v>
          </cell>
        </row>
        <row r="116">
          <cell r="G116" t="str">
            <v>Tamil Nadu</v>
          </cell>
          <cell r="I116" t="str">
            <v>Semi-Urban</v>
          </cell>
          <cell r="J116" t="str">
            <v>Onsite</v>
          </cell>
          <cell r="M116">
            <v>0</v>
          </cell>
        </row>
        <row r="117">
          <cell r="G117" t="str">
            <v>Tamil Nadu</v>
          </cell>
          <cell r="I117" t="str">
            <v>Semi-Urban</v>
          </cell>
          <cell r="J117" t="str">
            <v>Onsite</v>
          </cell>
          <cell r="M117">
            <v>0</v>
          </cell>
        </row>
        <row r="118">
          <cell r="G118" t="str">
            <v>Tamil Nadu</v>
          </cell>
          <cell r="I118" t="str">
            <v>Semi-Urban</v>
          </cell>
          <cell r="J118" t="str">
            <v>Onsite</v>
          </cell>
          <cell r="M118">
            <v>0</v>
          </cell>
        </row>
        <row r="119">
          <cell r="G119" t="str">
            <v>Tamil Nadu</v>
          </cell>
          <cell r="I119" t="str">
            <v>Semi-Urban</v>
          </cell>
          <cell r="J119" t="str">
            <v>Onsite</v>
          </cell>
          <cell r="M119">
            <v>0</v>
          </cell>
        </row>
        <row r="120">
          <cell r="G120" t="str">
            <v>Tamil Nadu</v>
          </cell>
          <cell r="I120" t="str">
            <v>Urban</v>
          </cell>
          <cell r="J120" t="str">
            <v>Onsite</v>
          </cell>
          <cell r="M120">
            <v>0</v>
          </cell>
        </row>
        <row r="121">
          <cell r="G121" t="str">
            <v>Tamil Nadu</v>
          </cell>
          <cell r="I121" t="str">
            <v>Urban</v>
          </cell>
          <cell r="J121" t="str">
            <v>Onsite</v>
          </cell>
          <cell r="M121">
            <v>0</v>
          </cell>
        </row>
        <row r="122">
          <cell r="G122" t="str">
            <v>Karnataka</v>
          </cell>
          <cell r="I122" t="str">
            <v>Semi-Urban</v>
          </cell>
          <cell r="J122" t="str">
            <v>Onsite</v>
          </cell>
          <cell r="M122">
            <v>0</v>
          </cell>
        </row>
        <row r="123">
          <cell r="G123" t="str">
            <v>Tamil Nadu</v>
          </cell>
          <cell r="I123" t="str">
            <v>Semi-Urban</v>
          </cell>
          <cell r="J123" t="str">
            <v>Onsite</v>
          </cell>
          <cell r="M123">
            <v>0</v>
          </cell>
        </row>
        <row r="124">
          <cell r="G124" t="str">
            <v>Tamil Nadu</v>
          </cell>
          <cell r="I124" t="str">
            <v>Rural</v>
          </cell>
          <cell r="J124" t="str">
            <v>Onsite</v>
          </cell>
          <cell r="M124">
            <v>0</v>
          </cell>
        </row>
        <row r="125">
          <cell r="G125" t="str">
            <v>Tamil Nadu</v>
          </cell>
          <cell r="I125" t="str">
            <v>Urban</v>
          </cell>
          <cell r="J125" t="str">
            <v>Onsite</v>
          </cell>
          <cell r="M125">
            <v>0</v>
          </cell>
        </row>
        <row r="126">
          <cell r="G126" t="str">
            <v>Tamil Nadu</v>
          </cell>
          <cell r="I126" t="str">
            <v>Rural</v>
          </cell>
          <cell r="J126" t="str">
            <v>Onsite</v>
          </cell>
          <cell r="M126">
            <v>0</v>
          </cell>
        </row>
        <row r="127">
          <cell r="G127" t="str">
            <v>Tamil Nadu</v>
          </cell>
          <cell r="I127" t="str">
            <v>Rural</v>
          </cell>
          <cell r="J127" t="str">
            <v>Onsite</v>
          </cell>
          <cell r="M127">
            <v>0</v>
          </cell>
        </row>
        <row r="128">
          <cell r="G128" t="str">
            <v>Tamil Nadu</v>
          </cell>
          <cell r="I128" t="str">
            <v>Metropolitan</v>
          </cell>
          <cell r="J128" t="str">
            <v>Onsite</v>
          </cell>
          <cell r="M128">
            <v>0</v>
          </cell>
        </row>
        <row r="129">
          <cell r="G129" t="str">
            <v>Tamil Nadu</v>
          </cell>
          <cell r="I129" t="str">
            <v>Rural</v>
          </cell>
          <cell r="J129" t="str">
            <v>Onsite</v>
          </cell>
          <cell r="M129">
            <v>0</v>
          </cell>
        </row>
        <row r="130">
          <cell r="G130" t="str">
            <v>Tamil Nadu</v>
          </cell>
          <cell r="I130" t="str">
            <v>Metropolitan</v>
          </cell>
          <cell r="J130" t="str">
            <v>Onsite</v>
          </cell>
          <cell r="M130">
            <v>0</v>
          </cell>
        </row>
        <row r="131">
          <cell r="G131" t="str">
            <v>Tamil Nadu</v>
          </cell>
          <cell r="I131" t="str">
            <v>Metropolitan</v>
          </cell>
          <cell r="J131" t="str">
            <v>Onsite</v>
          </cell>
          <cell r="M131">
            <v>0</v>
          </cell>
        </row>
        <row r="132">
          <cell r="G132" t="str">
            <v>Karnataka</v>
          </cell>
          <cell r="I132" t="str">
            <v>Rural</v>
          </cell>
          <cell r="J132" t="str">
            <v>Onsite</v>
          </cell>
          <cell r="M132">
            <v>0</v>
          </cell>
        </row>
        <row r="133">
          <cell r="G133" t="str">
            <v>Goa</v>
          </cell>
          <cell r="I133" t="str">
            <v>Semi-Urban</v>
          </cell>
          <cell r="J133" t="str">
            <v>Onsite</v>
          </cell>
          <cell r="M133">
            <v>0</v>
          </cell>
        </row>
        <row r="134">
          <cell r="G134" t="str">
            <v>Karnataka</v>
          </cell>
          <cell r="I134" t="str">
            <v>Semi-Urban</v>
          </cell>
          <cell r="J134" t="str">
            <v>Onsite</v>
          </cell>
          <cell r="M134">
            <v>0</v>
          </cell>
        </row>
        <row r="135">
          <cell r="G135" t="str">
            <v>Kerala</v>
          </cell>
          <cell r="I135" t="str">
            <v>Semi-Urban</v>
          </cell>
          <cell r="J135" t="str">
            <v>Onsite</v>
          </cell>
          <cell r="M135">
            <v>0</v>
          </cell>
        </row>
        <row r="136">
          <cell r="G136" t="str">
            <v>New Delhi</v>
          </cell>
          <cell r="I136" t="str">
            <v>Metropolitan</v>
          </cell>
          <cell r="J136" t="str">
            <v>Onsite</v>
          </cell>
          <cell r="M136">
            <v>0</v>
          </cell>
        </row>
        <row r="137">
          <cell r="G137" t="str">
            <v>Uttar Pradesh</v>
          </cell>
          <cell r="I137" t="str">
            <v>Metropolitan</v>
          </cell>
          <cell r="J137" t="str">
            <v>Offsite</v>
          </cell>
          <cell r="M137">
            <v>0</v>
          </cell>
        </row>
        <row r="138">
          <cell r="G138" t="str">
            <v>New Delhi</v>
          </cell>
          <cell r="I138" t="str">
            <v>Metropolitan</v>
          </cell>
          <cell r="J138" t="str">
            <v>Onsite</v>
          </cell>
          <cell r="M138">
            <v>1</v>
          </cell>
        </row>
        <row r="139">
          <cell r="G139" t="str">
            <v>New Delhi</v>
          </cell>
          <cell r="I139" t="str">
            <v>Metropolitan</v>
          </cell>
          <cell r="J139" t="str">
            <v>Onsite</v>
          </cell>
          <cell r="M139">
            <v>0</v>
          </cell>
        </row>
        <row r="140">
          <cell r="G140" t="str">
            <v>New Delhi</v>
          </cell>
          <cell r="I140" t="str">
            <v>Metropolitan</v>
          </cell>
          <cell r="J140" t="str">
            <v>Onsite</v>
          </cell>
          <cell r="M140">
            <v>4</v>
          </cell>
        </row>
        <row r="141">
          <cell r="G141" t="str">
            <v>New Delhi</v>
          </cell>
          <cell r="I141" t="str">
            <v>Metropolitan</v>
          </cell>
          <cell r="J141" t="str">
            <v>Onsite</v>
          </cell>
          <cell r="M141">
            <v>1</v>
          </cell>
        </row>
        <row r="142">
          <cell r="G142" t="str">
            <v>Uttar Pradesh</v>
          </cell>
          <cell r="I142" t="str">
            <v>Metropolitan</v>
          </cell>
          <cell r="J142" t="str">
            <v>Onsite</v>
          </cell>
          <cell r="M142">
            <v>0</v>
          </cell>
        </row>
        <row r="143">
          <cell r="G143" t="str">
            <v>New Delhi</v>
          </cell>
          <cell r="I143" t="str">
            <v>Metropolitan</v>
          </cell>
          <cell r="J143" t="str">
            <v>Onsite</v>
          </cell>
          <cell r="M143">
            <v>0</v>
          </cell>
        </row>
        <row r="144">
          <cell r="G144" t="str">
            <v>Rajasthan</v>
          </cell>
          <cell r="I144" t="str">
            <v>Urban</v>
          </cell>
          <cell r="J144" t="str">
            <v>Onsite</v>
          </cell>
          <cell r="M144">
            <v>0</v>
          </cell>
        </row>
        <row r="145">
          <cell r="G145" t="str">
            <v>Uttar Pradesh</v>
          </cell>
          <cell r="I145" t="str">
            <v>Urban</v>
          </cell>
          <cell r="J145" t="str">
            <v>Onsite</v>
          </cell>
          <cell r="M145">
            <v>0</v>
          </cell>
        </row>
        <row r="146">
          <cell r="G146" t="str">
            <v>Rajasthan</v>
          </cell>
          <cell r="I146" t="str">
            <v>Urban</v>
          </cell>
          <cell r="J146" t="str">
            <v>Onsite</v>
          </cell>
          <cell r="M146">
            <v>0</v>
          </cell>
        </row>
        <row r="147">
          <cell r="G147" t="str">
            <v>Rajasthan</v>
          </cell>
          <cell r="I147" t="str">
            <v>Semi-Urban</v>
          </cell>
          <cell r="J147" t="str">
            <v>Onsite</v>
          </cell>
          <cell r="M147">
            <v>0</v>
          </cell>
        </row>
        <row r="148">
          <cell r="G148" t="str">
            <v>Uttar Pradesh</v>
          </cell>
          <cell r="I148" t="str">
            <v>Urban</v>
          </cell>
          <cell r="J148" t="str">
            <v>Onsite</v>
          </cell>
          <cell r="M148">
            <v>0</v>
          </cell>
        </row>
        <row r="149">
          <cell r="G149" t="str">
            <v>Rajasthan</v>
          </cell>
          <cell r="I149" t="str">
            <v>Urban</v>
          </cell>
          <cell r="J149" t="str">
            <v>Onsite</v>
          </cell>
          <cell r="M149">
            <v>0</v>
          </cell>
        </row>
        <row r="150">
          <cell r="G150" t="str">
            <v>Rajasthan</v>
          </cell>
          <cell r="I150" t="str">
            <v>Urban</v>
          </cell>
          <cell r="J150" t="str">
            <v>Onsite</v>
          </cell>
          <cell r="M150">
            <v>0</v>
          </cell>
        </row>
        <row r="151">
          <cell r="G151" t="str">
            <v>Rajasthan</v>
          </cell>
          <cell r="I151" t="str">
            <v>Urban</v>
          </cell>
          <cell r="J151" t="str">
            <v>Onsite</v>
          </cell>
          <cell r="M151">
            <v>0</v>
          </cell>
        </row>
        <row r="152">
          <cell r="G152" t="str">
            <v>Rajasthan</v>
          </cell>
          <cell r="I152" t="str">
            <v>Metropolitan</v>
          </cell>
          <cell r="J152" t="str">
            <v>Onsite</v>
          </cell>
          <cell r="M152">
            <v>0</v>
          </cell>
        </row>
        <row r="153">
          <cell r="G153" t="str">
            <v>Rajasthan</v>
          </cell>
          <cell r="I153" t="str">
            <v>Urban</v>
          </cell>
          <cell r="J153" t="str">
            <v>Onsite</v>
          </cell>
          <cell r="M153">
            <v>0</v>
          </cell>
        </row>
        <row r="154">
          <cell r="G154" t="str">
            <v>Rajasthan</v>
          </cell>
          <cell r="I154" t="str">
            <v>Metropolitan</v>
          </cell>
          <cell r="J154" t="str">
            <v>Onsite</v>
          </cell>
          <cell r="M154">
            <v>0</v>
          </cell>
        </row>
        <row r="155">
          <cell r="G155" t="str">
            <v>Uttarakhand</v>
          </cell>
          <cell r="I155" t="str">
            <v>Urban</v>
          </cell>
          <cell r="J155" t="str">
            <v>Onsite</v>
          </cell>
          <cell r="M155">
            <v>0</v>
          </cell>
        </row>
        <row r="156">
          <cell r="G156" t="str">
            <v>Uttarakhand</v>
          </cell>
          <cell r="I156" t="str">
            <v>Urban</v>
          </cell>
          <cell r="J156" t="str">
            <v>Onsite</v>
          </cell>
          <cell r="M156">
            <v>0</v>
          </cell>
        </row>
        <row r="157">
          <cell r="G157" t="str">
            <v>Uttarakhand</v>
          </cell>
          <cell r="I157" t="str">
            <v>Urban</v>
          </cell>
          <cell r="J157" t="str">
            <v>Onsite</v>
          </cell>
          <cell r="M157">
            <v>0</v>
          </cell>
        </row>
        <row r="158">
          <cell r="G158" t="str">
            <v>Rajasthan</v>
          </cell>
          <cell r="I158" t="str">
            <v>Metropolitan</v>
          </cell>
          <cell r="J158" t="str">
            <v>Onsite</v>
          </cell>
          <cell r="M158">
            <v>0</v>
          </cell>
        </row>
        <row r="159">
          <cell r="G159" t="str">
            <v>Uttar Pradesh</v>
          </cell>
          <cell r="I159" t="str">
            <v>Urban</v>
          </cell>
          <cell r="J159" t="str">
            <v>Onsite</v>
          </cell>
          <cell r="M159">
            <v>0</v>
          </cell>
        </row>
        <row r="160">
          <cell r="G160" t="str">
            <v>Rajasthan</v>
          </cell>
          <cell r="I160" t="str">
            <v>Urban</v>
          </cell>
          <cell r="J160" t="str">
            <v>Onsite</v>
          </cell>
          <cell r="M160">
            <v>0</v>
          </cell>
        </row>
        <row r="161">
          <cell r="G161" t="str">
            <v>Chandigarh(UT)</v>
          </cell>
          <cell r="I161" t="str">
            <v>Urban</v>
          </cell>
          <cell r="J161" t="str">
            <v>Onsite</v>
          </cell>
          <cell r="M161">
            <v>0</v>
          </cell>
        </row>
        <row r="162">
          <cell r="G162" t="str">
            <v>Haryana</v>
          </cell>
          <cell r="I162" t="str">
            <v>Metropolitan</v>
          </cell>
          <cell r="J162" t="str">
            <v>Onsite</v>
          </cell>
          <cell r="M162">
            <v>0</v>
          </cell>
        </row>
        <row r="163">
          <cell r="G163" t="str">
            <v>New Delhi</v>
          </cell>
          <cell r="I163" t="str">
            <v>Metropolitan</v>
          </cell>
          <cell r="J163" t="str">
            <v>Onsite</v>
          </cell>
          <cell r="M163">
            <v>0</v>
          </cell>
        </row>
        <row r="164">
          <cell r="G164" t="str">
            <v>Haryana</v>
          </cell>
          <cell r="I164" t="str">
            <v>Urban</v>
          </cell>
          <cell r="J164" t="str">
            <v>Onsite</v>
          </cell>
          <cell r="M164">
            <v>0</v>
          </cell>
        </row>
        <row r="165">
          <cell r="G165" t="str">
            <v>Haryana</v>
          </cell>
          <cell r="I165" t="str">
            <v>Urban</v>
          </cell>
          <cell r="J165" t="str">
            <v>Onsite</v>
          </cell>
          <cell r="M165">
            <v>0</v>
          </cell>
        </row>
        <row r="166">
          <cell r="G166" t="str">
            <v>Uttar Pradesh</v>
          </cell>
          <cell r="I166" t="str">
            <v>Metropolitan</v>
          </cell>
          <cell r="J166" t="str">
            <v>Onsite</v>
          </cell>
          <cell r="M166">
            <v>0</v>
          </cell>
        </row>
        <row r="167">
          <cell r="G167" t="str">
            <v>Uttar Pradesh</v>
          </cell>
          <cell r="I167" t="str">
            <v>Metropolitan</v>
          </cell>
          <cell r="J167" t="str">
            <v>Onsite</v>
          </cell>
          <cell r="M167">
            <v>0</v>
          </cell>
        </row>
        <row r="168">
          <cell r="G168" t="str">
            <v>Uttar Pradesh</v>
          </cell>
          <cell r="I168" t="str">
            <v>Urban</v>
          </cell>
          <cell r="J168" t="str">
            <v>Onsite</v>
          </cell>
          <cell r="M168">
            <v>0</v>
          </cell>
        </row>
        <row r="169">
          <cell r="G169" t="str">
            <v>New Delhi</v>
          </cell>
          <cell r="I169" t="str">
            <v>Urban</v>
          </cell>
          <cell r="J169" t="str">
            <v>Onsite</v>
          </cell>
          <cell r="M169">
            <v>1</v>
          </cell>
        </row>
        <row r="170">
          <cell r="G170" t="str">
            <v>Punjab</v>
          </cell>
          <cell r="I170" t="str">
            <v>Urban</v>
          </cell>
          <cell r="J170" t="str">
            <v>Onsite</v>
          </cell>
          <cell r="M170">
            <v>0</v>
          </cell>
        </row>
        <row r="171">
          <cell r="G171" t="str">
            <v>Haryana</v>
          </cell>
          <cell r="I171" t="str">
            <v>Urban</v>
          </cell>
          <cell r="J171" t="str">
            <v>Onsite</v>
          </cell>
          <cell r="M171">
            <v>0</v>
          </cell>
        </row>
        <row r="172">
          <cell r="G172" t="str">
            <v>Haryana</v>
          </cell>
          <cell r="I172" t="str">
            <v>Urban</v>
          </cell>
          <cell r="J172" t="str">
            <v>Onsite</v>
          </cell>
          <cell r="M172">
            <v>0</v>
          </cell>
        </row>
        <row r="173">
          <cell r="G173" t="str">
            <v>Haryana</v>
          </cell>
          <cell r="I173" t="str">
            <v>Urban</v>
          </cell>
          <cell r="J173" t="str">
            <v>Onsite</v>
          </cell>
          <cell r="M173">
            <v>0</v>
          </cell>
        </row>
        <row r="174">
          <cell r="G174" t="str">
            <v>Haryana</v>
          </cell>
          <cell r="I174" t="str">
            <v>Urban</v>
          </cell>
          <cell r="J174" t="str">
            <v>Onsite</v>
          </cell>
          <cell r="M174">
            <v>0</v>
          </cell>
        </row>
        <row r="175">
          <cell r="G175" t="str">
            <v>Uttar Pradesh</v>
          </cell>
          <cell r="I175" t="str">
            <v>Urban</v>
          </cell>
          <cell r="J175" t="str">
            <v>Onsite</v>
          </cell>
          <cell r="M175">
            <v>0</v>
          </cell>
        </row>
        <row r="176">
          <cell r="G176" t="str">
            <v>Uttar Pradesh</v>
          </cell>
          <cell r="I176" t="str">
            <v>Semi-Urban</v>
          </cell>
          <cell r="J176" t="str">
            <v>Onsite</v>
          </cell>
          <cell r="M176">
            <v>0</v>
          </cell>
        </row>
        <row r="177">
          <cell r="G177" t="str">
            <v>Haryana</v>
          </cell>
          <cell r="I177" t="str">
            <v>Urban</v>
          </cell>
          <cell r="J177" t="str">
            <v>Onsite</v>
          </cell>
          <cell r="M177">
            <v>0</v>
          </cell>
        </row>
        <row r="178">
          <cell r="G178" t="str">
            <v>Rajasthan</v>
          </cell>
          <cell r="I178" t="str">
            <v>Urban</v>
          </cell>
          <cell r="J178" t="str">
            <v>Onsite</v>
          </cell>
          <cell r="M178">
            <v>0</v>
          </cell>
        </row>
        <row r="179">
          <cell r="G179" t="str">
            <v>Rajasthan</v>
          </cell>
          <cell r="I179" t="str">
            <v>Urban</v>
          </cell>
          <cell r="J179" t="str">
            <v>Onsite</v>
          </cell>
          <cell r="M179">
            <v>0</v>
          </cell>
        </row>
        <row r="180">
          <cell r="G180" t="str">
            <v>Haryana</v>
          </cell>
          <cell r="I180" t="str">
            <v>Urban</v>
          </cell>
          <cell r="J180" t="str">
            <v>Onsite</v>
          </cell>
          <cell r="M180">
            <v>0</v>
          </cell>
        </row>
        <row r="181">
          <cell r="G181" t="str">
            <v>Punjab</v>
          </cell>
          <cell r="I181" t="str">
            <v>Urban</v>
          </cell>
          <cell r="J181" t="str">
            <v>Onsite</v>
          </cell>
          <cell r="M181">
            <v>0</v>
          </cell>
        </row>
        <row r="182">
          <cell r="G182" t="str">
            <v>Haryana</v>
          </cell>
          <cell r="I182" t="str">
            <v>Urban</v>
          </cell>
          <cell r="J182" t="str">
            <v>Onsite</v>
          </cell>
          <cell r="M182">
            <v>0</v>
          </cell>
        </row>
        <row r="183">
          <cell r="G183" t="str">
            <v>Haryana</v>
          </cell>
          <cell r="I183" t="str">
            <v>Urban</v>
          </cell>
          <cell r="J183" t="str">
            <v>Onsite</v>
          </cell>
          <cell r="M183">
            <v>0</v>
          </cell>
        </row>
        <row r="184">
          <cell r="G184" t="str">
            <v>Punjab</v>
          </cell>
          <cell r="I184" t="str">
            <v>Metropolitan</v>
          </cell>
          <cell r="J184" t="str">
            <v>Onsite</v>
          </cell>
          <cell r="M184">
            <v>0</v>
          </cell>
        </row>
        <row r="185">
          <cell r="G185" t="str">
            <v>Punjab</v>
          </cell>
          <cell r="I185" t="str">
            <v>Metropolitan</v>
          </cell>
          <cell r="J185" t="str">
            <v>Onsite</v>
          </cell>
          <cell r="M185">
            <v>3</v>
          </cell>
        </row>
        <row r="186">
          <cell r="G186" t="str">
            <v>Punjab</v>
          </cell>
          <cell r="I186" t="str">
            <v>Urban</v>
          </cell>
          <cell r="J186" t="str">
            <v>Onsite</v>
          </cell>
          <cell r="M186">
            <v>3</v>
          </cell>
        </row>
        <row r="187">
          <cell r="G187" t="str">
            <v>Punjab</v>
          </cell>
          <cell r="I187" t="str">
            <v>Semi-Urban</v>
          </cell>
          <cell r="J187" t="str">
            <v>Onsite</v>
          </cell>
          <cell r="M187">
            <v>3</v>
          </cell>
        </row>
        <row r="188">
          <cell r="G188" t="str">
            <v>Punjab</v>
          </cell>
          <cell r="I188" t="str">
            <v>Semi-Urban</v>
          </cell>
          <cell r="J188" t="str">
            <v>Onsite</v>
          </cell>
          <cell r="M188">
            <v>3</v>
          </cell>
        </row>
        <row r="189">
          <cell r="G189" t="str">
            <v>Punjab</v>
          </cell>
          <cell r="I189" t="str">
            <v>Metropolitan</v>
          </cell>
          <cell r="J189" t="str">
            <v>Onsite</v>
          </cell>
          <cell r="M189">
            <v>0</v>
          </cell>
        </row>
        <row r="190">
          <cell r="G190" t="str">
            <v>Punjab</v>
          </cell>
          <cell r="I190" t="str">
            <v>Urban</v>
          </cell>
          <cell r="J190" t="str">
            <v>Onsite</v>
          </cell>
          <cell r="M190">
            <v>0</v>
          </cell>
        </row>
        <row r="191">
          <cell r="G191" t="str">
            <v>Uttarakhand</v>
          </cell>
          <cell r="I191" t="str">
            <v>Semi-Urban</v>
          </cell>
          <cell r="J191" t="str">
            <v>Onsite</v>
          </cell>
          <cell r="M191">
            <v>0</v>
          </cell>
        </row>
        <row r="192">
          <cell r="G192" t="str">
            <v>Madhya Pradesh</v>
          </cell>
          <cell r="I192" t="str">
            <v>Metropolitan</v>
          </cell>
          <cell r="J192" t="str">
            <v>Onsite</v>
          </cell>
          <cell r="M192">
            <v>0</v>
          </cell>
        </row>
        <row r="193">
          <cell r="G193" t="str">
            <v>Madhya Pradesh</v>
          </cell>
          <cell r="I193" t="str">
            <v>Urban</v>
          </cell>
          <cell r="J193" t="str">
            <v>Onsite</v>
          </cell>
          <cell r="M193">
            <v>0</v>
          </cell>
        </row>
        <row r="194">
          <cell r="G194" t="str">
            <v>Rajasthan</v>
          </cell>
          <cell r="I194" t="str">
            <v>Urban</v>
          </cell>
          <cell r="J194" t="str">
            <v>Onsite</v>
          </cell>
          <cell r="M194">
            <v>0</v>
          </cell>
        </row>
        <row r="195">
          <cell r="G195" t="str">
            <v>Haryana</v>
          </cell>
          <cell r="I195" t="str">
            <v>Urban</v>
          </cell>
          <cell r="J195" t="str">
            <v>Onsite</v>
          </cell>
          <cell r="M195">
            <v>0</v>
          </cell>
        </row>
        <row r="196">
          <cell r="G196" t="str">
            <v>Haryana</v>
          </cell>
          <cell r="I196" t="str">
            <v>Urban</v>
          </cell>
          <cell r="J196" t="str">
            <v>Onsite</v>
          </cell>
          <cell r="M196">
            <v>0</v>
          </cell>
        </row>
        <row r="197">
          <cell r="G197" t="str">
            <v>Haryana</v>
          </cell>
          <cell r="I197" t="str">
            <v>Urban</v>
          </cell>
          <cell r="J197" t="str">
            <v>Onsite</v>
          </cell>
          <cell r="M197">
            <v>0</v>
          </cell>
        </row>
        <row r="198">
          <cell r="G198" t="str">
            <v>Himachal Pradesh</v>
          </cell>
          <cell r="I198" t="str">
            <v>Semi-Urban</v>
          </cell>
          <cell r="J198" t="str">
            <v>Onsite</v>
          </cell>
          <cell r="M198">
            <v>0</v>
          </cell>
        </row>
        <row r="199">
          <cell r="G199" t="str">
            <v>Haryana</v>
          </cell>
          <cell r="I199" t="str">
            <v>Semi-Urban</v>
          </cell>
          <cell r="J199" t="str">
            <v>Onsite</v>
          </cell>
          <cell r="M199">
            <v>0</v>
          </cell>
        </row>
        <row r="200">
          <cell r="G200" t="str">
            <v>Haryana</v>
          </cell>
          <cell r="I200" t="str">
            <v>Semi-Urban</v>
          </cell>
          <cell r="J200" t="str">
            <v>Onsite</v>
          </cell>
          <cell r="M200">
            <v>0</v>
          </cell>
        </row>
        <row r="201">
          <cell r="G201" t="str">
            <v>Madhya Pradesh</v>
          </cell>
          <cell r="I201" t="str">
            <v>Urban</v>
          </cell>
          <cell r="J201" t="str">
            <v>Onsite</v>
          </cell>
          <cell r="M201">
            <v>0</v>
          </cell>
        </row>
        <row r="202">
          <cell r="G202" t="str">
            <v>Madhya Pradesh</v>
          </cell>
          <cell r="I202" t="str">
            <v>Urban</v>
          </cell>
          <cell r="J202" t="str">
            <v>Onsite</v>
          </cell>
          <cell r="M202">
            <v>0</v>
          </cell>
        </row>
        <row r="203">
          <cell r="G203" t="str">
            <v>Madhya Pradesh</v>
          </cell>
          <cell r="I203" t="str">
            <v>Semi-Urban</v>
          </cell>
          <cell r="J203" t="str">
            <v>Onsite</v>
          </cell>
          <cell r="M203">
            <v>0</v>
          </cell>
        </row>
        <row r="204">
          <cell r="G204" t="str">
            <v>Madhya Pradesh</v>
          </cell>
          <cell r="I204" t="str">
            <v>Urban</v>
          </cell>
          <cell r="J204" t="str">
            <v>Onsite</v>
          </cell>
          <cell r="M204">
            <v>0</v>
          </cell>
        </row>
        <row r="205">
          <cell r="G205" t="str">
            <v>Rajasthan</v>
          </cell>
          <cell r="I205" t="str">
            <v>Rural</v>
          </cell>
          <cell r="J205" t="str">
            <v>Onsite</v>
          </cell>
          <cell r="M205">
            <v>0</v>
          </cell>
        </row>
        <row r="206">
          <cell r="G206" t="str">
            <v>Haryana</v>
          </cell>
          <cell r="I206" t="str">
            <v>Semi-Urban</v>
          </cell>
          <cell r="J206" t="str">
            <v>Onsite</v>
          </cell>
          <cell r="M206">
            <v>0</v>
          </cell>
        </row>
        <row r="207">
          <cell r="G207" t="str">
            <v>Punjab</v>
          </cell>
          <cell r="I207" t="str">
            <v>Urban</v>
          </cell>
          <cell r="J207" t="str">
            <v>Onsite</v>
          </cell>
          <cell r="M207">
            <v>0</v>
          </cell>
        </row>
        <row r="208">
          <cell r="G208" t="str">
            <v>Punjab</v>
          </cell>
          <cell r="I208" t="str">
            <v>Semi-Urban</v>
          </cell>
          <cell r="J208" t="str">
            <v>Onsite</v>
          </cell>
          <cell r="M208">
            <v>0</v>
          </cell>
        </row>
        <row r="209">
          <cell r="G209" t="str">
            <v>Rajasthan</v>
          </cell>
          <cell r="I209" t="str">
            <v>Semi-Urban</v>
          </cell>
          <cell r="J209" t="str">
            <v>Onsite</v>
          </cell>
          <cell r="M209">
            <v>0</v>
          </cell>
        </row>
        <row r="210">
          <cell r="G210" t="str">
            <v>Haryana</v>
          </cell>
          <cell r="I210" t="str">
            <v>Semi-Urban</v>
          </cell>
          <cell r="J210" t="str">
            <v>Onsite</v>
          </cell>
          <cell r="M210">
            <v>0</v>
          </cell>
        </row>
        <row r="211">
          <cell r="G211" t="str">
            <v>Uttar Pradesh</v>
          </cell>
          <cell r="I211" t="str">
            <v>Semi-Urban</v>
          </cell>
          <cell r="J211" t="str">
            <v>Onsite</v>
          </cell>
          <cell r="M211">
            <v>0</v>
          </cell>
        </row>
        <row r="212">
          <cell r="G212" t="str">
            <v>Uttar Pradesh</v>
          </cell>
          <cell r="I212" t="str">
            <v>Urban</v>
          </cell>
          <cell r="J212" t="str">
            <v>Onsite</v>
          </cell>
          <cell r="M212">
            <v>0</v>
          </cell>
        </row>
        <row r="213">
          <cell r="G213" t="str">
            <v>Uttar Pradesh</v>
          </cell>
          <cell r="I213" t="str">
            <v>Urban</v>
          </cell>
          <cell r="J213" t="str">
            <v>Onsite</v>
          </cell>
          <cell r="M213">
            <v>0</v>
          </cell>
        </row>
        <row r="214">
          <cell r="G214" t="str">
            <v>Haryana</v>
          </cell>
          <cell r="I214" t="str">
            <v>Semi-Urban</v>
          </cell>
          <cell r="J214" t="str">
            <v>Onsite</v>
          </cell>
          <cell r="M214">
            <v>0</v>
          </cell>
        </row>
        <row r="215">
          <cell r="G215" t="str">
            <v>Madhya Pradesh</v>
          </cell>
          <cell r="I215" t="str">
            <v>Rural</v>
          </cell>
          <cell r="J215" t="str">
            <v>Onsite</v>
          </cell>
          <cell r="M215">
            <v>0</v>
          </cell>
        </row>
        <row r="216">
          <cell r="G216" t="str">
            <v>Madhya Pradesh</v>
          </cell>
          <cell r="I216" t="str">
            <v>Semi-Urban</v>
          </cell>
          <cell r="J216" t="str">
            <v>Onsite</v>
          </cell>
          <cell r="M216">
            <v>0</v>
          </cell>
        </row>
        <row r="217">
          <cell r="G217" t="str">
            <v>Uttar Pradesh</v>
          </cell>
          <cell r="I217" t="str">
            <v>Urban</v>
          </cell>
          <cell r="J217" t="str">
            <v>Onsite</v>
          </cell>
          <cell r="M217">
            <v>0</v>
          </cell>
        </row>
        <row r="218">
          <cell r="G218" t="str">
            <v>Haryana</v>
          </cell>
          <cell r="I218" t="str">
            <v>Semi-Urban</v>
          </cell>
          <cell r="J218" t="str">
            <v>Onsite</v>
          </cell>
          <cell r="M218">
            <v>0</v>
          </cell>
        </row>
        <row r="219">
          <cell r="G219" t="str">
            <v>Madhya Pradesh</v>
          </cell>
          <cell r="I219" t="str">
            <v>Semi-Urban</v>
          </cell>
          <cell r="J219" t="str">
            <v>Onsite</v>
          </cell>
          <cell r="M219">
            <v>0</v>
          </cell>
        </row>
        <row r="220">
          <cell r="G220" t="str">
            <v>Madhya Pradesh</v>
          </cell>
          <cell r="I220" t="str">
            <v>Semi-Urban</v>
          </cell>
          <cell r="J220" t="str">
            <v>Onsite</v>
          </cell>
          <cell r="M220">
            <v>0</v>
          </cell>
        </row>
        <row r="221">
          <cell r="G221" t="str">
            <v>Haryana</v>
          </cell>
          <cell r="I221" t="str">
            <v>Rural</v>
          </cell>
          <cell r="J221" t="str">
            <v>Onsite</v>
          </cell>
          <cell r="M221">
            <v>0</v>
          </cell>
        </row>
        <row r="222">
          <cell r="G222" t="str">
            <v>Haryana</v>
          </cell>
          <cell r="I222" t="str">
            <v>Rural</v>
          </cell>
          <cell r="J222" t="str">
            <v>Onsite</v>
          </cell>
          <cell r="M222">
            <v>0</v>
          </cell>
        </row>
        <row r="223">
          <cell r="G223" t="str">
            <v>Madhya Pradesh</v>
          </cell>
          <cell r="I223" t="str">
            <v>Metropolitan</v>
          </cell>
          <cell r="J223" t="str">
            <v>Onsite</v>
          </cell>
          <cell r="M223">
            <v>0</v>
          </cell>
        </row>
        <row r="224">
          <cell r="G224" t="str">
            <v>Haryana</v>
          </cell>
          <cell r="I224" t="str">
            <v>Semi-Urban</v>
          </cell>
          <cell r="J224" t="str">
            <v>Onsite</v>
          </cell>
          <cell r="M224">
            <v>0</v>
          </cell>
        </row>
        <row r="225">
          <cell r="G225" t="str">
            <v>Punjab</v>
          </cell>
          <cell r="I225" t="str">
            <v>Urban</v>
          </cell>
          <cell r="J225" t="str">
            <v>Onsite</v>
          </cell>
          <cell r="M225">
            <v>0</v>
          </cell>
        </row>
        <row r="226">
          <cell r="G226" t="str">
            <v>Punjab</v>
          </cell>
          <cell r="I226" t="str">
            <v>Semi-Urban</v>
          </cell>
          <cell r="J226" t="str">
            <v>Onsite</v>
          </cell>
          <cell r="M226">
            <v>0</v>
          </cell>
        </row>
        <row r="227">
          <cell r="G227" t="str">
            <v>Haryana</v>
          </cell>
          <cell r="I227" t="str">
            <v>Semi-Urban</v>
          </cell>
          <cell r="J227" t="str">
            <v>Onsite</v>
          </cell>
          <cell r="M227">
            <v>0</v>
          </cell>
        </row>
        <row r="228">
          <cell r="G228" t="str">
            <v>Punjab</v>
          </cell>
          <cell r="I228" t="str">
            <v>Semi-Urban</v>
          </cell>
          <cell r="J228" t="str">
            <v>Onsite</v>
          </cell>
          <cell r="M228">
            <v>0</v>
          </cell>
        </row>
        <row r="229">
          <cell r="G229" t="str">
            <v>Rajasthan</v>
          </cell>
          <cell r="I229" t="str">
            <v>Rural</v>
          </cell>
          <cell r="J229" t="str">
            <v>Onsite</v>
          </cell>
          <cell r="M229">
            <v>0</v>
          </cell>
        </row>
        <row r="230">
          <cell r="G230" t="str">
            <v>Rajasthan</v>
          </cell>
          <cell r="I230" t="str">
            <v>Urban</v>
          </cell>
          <cell r="J230" t="str">
            <v>Onsite</v>
          </cell>
          <cell r="M230">
            <v>0</v>
          </cell>
        </row>
        <row r="231">
          <cell r="G231" t="str">
            <v>Chhattisgarh</v>
          </cell>
          <cell r="I231" t="str">
            <v>Metropolitan</v>
          </cell>
          <cell r="J231" t="str">
            <v>Onsite</v>
          </cell>
          <cell r="M231">
            <v>0</v>
          </cell>
        </row>
        <row r="232">
          <cell r="G232" t="str">
            <v>Chhattisgarh</v>
          </cell>
          <cell r="I232" t="str">
            <v>Urban</v>
          </cell>
          <cell r="J232" t="str">
            <v>Onsite</v>
          </cell>
          <cell r="M232">
            <v>0</v>
          </cell>
        </row>
        <row r="233">
          <cell r="G233" t="str">
            <v>Chhattisgarh</v>
          </cell>
          <cell r="I233" t="str">
            <v>Urban</v>
          </cell>
          <cell r="J233" t="str">
            <v>Onsite</v>
          </cell>
          <cell r="M233">
            <v>0</v>
          </cell>
        </row>
        <row r="234">
          <cell r="G234" t="str">
            <v>Chhattisgarh</v>
          </cell>
          <cell r="I234" t="str">
            <v>Urban</v>
          </cell>
          <cell r="J234" t="str">
            <v>Onsite</v>
          </cell>
          <cell r="M234">
            <v>0</v>
          </cell>
        </row>
        <row r="235">
          <cell r="G235" t="str">
            <v>Uttar Pradesh</v>
          </cell>
          <cell r="I235" t="str">
            <v>Metropolitan</v>
          </cell>
          <cell r="J235" t="str">
            <v>Onsite</v>
          </cell>
          <cell r="M235">
            <v>0</v>
          </cell>
        </row>
        <row r="236">
          <cell r="G236" t="str">
            <v>Haryana</v>
          </cell>
          <cell r="I236" t="str">
            <v>Metropolitan</v>
          </cell>
          <cell r="J236" t="str">
            <v>Onsite</v>
          </cell>
          <cell r="M236">
            <v>0</v>
          </cell>
        </row>
        <row r="237">
          <cell r="G237" t="str">
            <v>Uttar Pradesh</v>
          </cell>
          <cell r="I237" t="str">
            <v>Rural</v>
          </cell>
          <cell r="J237" t="str">
            <v>Onsite</v>
          </cell>
          <cell r="M237">
            <v>0</v>
          </cell>
        </row>
        <row r="238">
          <cell r="G238" t="str">
            <v>Rajasthan</v>
          </cell>
          <cell r="I238" t="str">
            <v>Rural</v>
          </cell>
          <cell r="J238" t="str">
            <v>Onsite</v>
          </cell>
          <cell r="M238">
            <v>0</v>
          </cell>
        </row>
        <row r="239">
          <cell r="G239" t="str">
            <v>Uttar Pradesh</v>
          </cell>
          <cell r="I239" t="str">
            <v>Rural</v>
          </cell>
          <cell r="J239" t="str">
            <v>Onsite</v>
          </cell>
          <cell r="M239">
            <v>0</v>
          </cell>
        </row>
        <row r="240">
          <cell r="G240" t="str">
            <v>Uttar Pradesh</v>
          </cell>
          <cell r="I240" t="str">
            <v>Rural</v>
          </cell>
          <cell r="J240" t="str">
            <v>Onsite</v>
          </cell>
          <cell r="M240">
            <v>0</v>
          </cell>
        </row>
        <row r="241">
          <cell r="G241" t="str">
            <v>West Bengal</v>
          </cell>
          <cell r="I241" t="str">
            <v>Metropolitan</v>
          </cell>
          <cell r="J241" t="str">
            <v>Onsite</v>
          </cell>
          <cell r="M241">
            <v>0</v>
          </cell>
        </row>
        <row r="242">
          <cell r="G242" t="str">
            <v>West Bengal</v>
          </cell>
          <cell r="I242" t="str">
            <v>Metropolitan</v>
          </cell>
          <cell r="J242" t="str">
            <v>Onsite</v>
          </cell>
          <cell r="M242">
            <v>0</v>
          </cell>
        </row>
        <row r="243">
          <cell r="G243" t="str">
            <v>West Bengal</v>
          </cell>
          <cell r="I243" t="str">
            <v>Urban</v>
          </cell>
          <cell r="J243" t="str">
            <v>Onsite</v>
          </cell>
          <cell r="M243">
            <v>1</v>
          </cell>
        </row>
        <row r="244">
          <cell r="G244" t="str">
            <v>West Bengal</v>
          </cell>
          <cell r="I244" t="str">
            <v>Urban</v>
          </cell>
          <cell r="J244" t="str">
            <v>Offsite</v>
          </cell>
          <cell r="M244">
            <v>0</v>
          </cell>
        </row>
        <row r="245">
          <cell r="G245" t="str">
            <v>West Bengal</v>
          </cell>
          <cell r="I245" t="str">
            <v>Metropolitan</v>
          </cell>
          <cell r="J245" t="str">
            <v>Onsite</v>
          </cell>
          <cell r="M245">
            <v>0</v>
          </cell>
        </row>
        <row r="246">
          <cell r="G246" t="str">
            <v>West Bengal</v>
          </cell>
          <cell r="I246" t="str">
            <v>Metropolitan</v>
          </cell>
          <cell r="J246" t="str">
            <v>Onsite</v>
          </cell>
          <cell r="M246">
            <v>0</v>
          </cell>
        </row>
        <row r="247">
          <cell r="G247" t="str">
            <v>West Bengal</v>
          </cell>
          <cell r="I247" t="str">
            <v>Metropolitan</v>
          </cell>
          <cell r="J247" t="str">
            <v>Onsite</v>
          </cell>
          <cell r="M247">
            <v>1</v>
          </cell>
        </row>
        <row r="248">
          <cell r="G248" t="str">
            <v>West Bengal</v>
          </cell>
          <cell r="I248" t="str">
            <v>Metropolitan</v>
          </cell>
          <cell r="J248" t="str">
            <v>Onsite</v>
          </cell>
          <cell r="M248">
            <v>0</v>
          </cell>
        </row>
        <row r="249">
          <cell r="G249" t="str">
            <v>West Bengal</v>
          </cell>
          <cell r="I249" t="str">
            <v>Metropolitan</v>
          </cell>
          <cell r="J249" t="str">
            <v>Onsite</v>
          </cell>
          <cell r="M249">
            <v>0</v>
          </cell>
        </row>
        <row r="250">
          <cell r="G250" t="str">
            <v>West Bengal</v>
          </cell>
          <cell r="I250" t="str">
            <v>Metropolitan</v>
          </cell>
          <cell r="J250" t="str">
            <v>Onsite</v>
          </cell>
          <cell r="M250">
            <v>1</v>
          </cell>
        </row>
        <row r="251">
          <cell r="G251" t="str">
            <v>West Bengal</v>
          </cell>
          <cell r="I251" t="str">
            <v>Metropolitan</v>
          </cell>
          <cell r="J251" t="str">
            <v>Onsite</v>
          </cell>
          <cell r="M251">
            <v>0</v>
          </cell>
        </row>
        <row r="252">
          <cell r="G252" t="str">
            <v>West Bengal</v>
          </cell>
          <cell r="I252" t="str">
            <v>Urban</v>
          </cell>
          <cell r="J252" t="str">
            <v>Onsite</v>
          </cell>
          <cell r="M252">
            <v>0</v>
          </cell>
        </row>
        <row r="253">
          <cell r="G253" t="str">
            <v>West Bengal</v>
          </cell>
          <cell r="I253" t="str">
            <v>Urban</v>
          </cell>
          <cell r="J253" t="str">
            <v>Onsite</v>
          </cell>
          <cell r="M253">
            <v>0</v>
          </cell>
        </row>
        <row r="254">
          <cell r="G254" t="str">
            <v>West Bengal</v>
          </cell>
          <cell r="I254" t="str">
            <v>Urban</v>
          </cell>
          <cell r="J254" t="str">
            <v>Onsite</v>
          </cell>
          <cell r="M254">
            <v>0</v>
          </cell>
        </row>
        <row r="255">
          <cell r="G255" t="str">
            <v>West Bengal</v>
          </cell>
          <cell r="I255" t="str">
            <v>Urban</v>
          </cell>
          <cell r="J255" t="str">
            <v>Onsite</v>
          </cell>
          <cell r="M255">
            <v>0</v>
          </cell>
        </row>
        <row r="256">
          <cell r="G256" t="str">
            <v>West Bengal</v>
          </cell>
          <cell r="I256" t="str">
            <v>Semi-Urban</v>
          </cell>
          <cell r="J256" t="str">
            <v>Onsite</v>
          </cell>
          <cell r="M256">
            <v>0</v>
          </cell>
        </row>
        <row r="257">
          <cell r="G257" t="str">
            <v>West Bengal</v>
          </cell>
          <cell r="I257" t="str">
            <v>Urban</v>
          </cell>
          <cell r="J257" t="str">
            <v>Onsite</v>
          </cell>
          <cell r="M257">
            <v>0</v>
          </cell>
        </row>
        <row r="258">
          <cell r="G258" t="str">
            <v>West Bengal</v>
          </cell>
          <cell r="I258" t="str">
            <v>Urban</v>
          </cell>
          <cell r="J258" t="str">
            <v>Onsite</v>
          </cell>
          <cell r="M258">
            <v>0</v>
          </cell>
        </row>
        <row r="259">
          <cell r="G259" t="str">
            <v>West Bengal</v>
          </cell>
          <cell r="I259" t="str">
            <v>Urban</v>
          </cell>
          <cell r="J259" t="str">
            <v>Onsite</v>
          </cell>
          <cell r="M259">
            <v>0</v>
          </cell>
        </row>
        <row r="260">
          <cell r="G260" t="str">
            <v>West Bengal</v>
          </cell>
          <cell r="I260" t="str">
            <v>Semi-Urban</v>
          </cell>
          <cell r="J260" t="str">
            <v>Onsite</v>
          </cell>
          <cell r="M260">
            <v>0</v>
          </cell>
        </row>
        <row r="261">
          <cell r="G261" t="str">
            <v>Jharkhand</v>
          </cell>
          <cell r="I261" t="str">
            <v>Urban</v>
          </cell>
          <cell r="J261" t="str">
            <v>Onsite</v>
          </cell>
          <cell r="M261">
            <v>0</v>
          </cell>
        </row>
        <row r="262">
          <cell r="G262" t="str">
            <v>Jharkhand</v>
          </cell>
          <cell r="I262" t="str">
            <v>Semi-Urban</v>
          </cell>
          <cell r="J262" t="str">
            <v>Onsite</v>
          </cell>
          <cell r="M262">
            <v>0</v>
          </cell>
        </row>
        <row r="263">
          <cell r="G263" t="str">
            <v>West Bengal</v>
          </cell>
          <cell r="I263" t="str">
            <v>Semi-Urban</v>
          </cell>
          <cell r="J263" t="str">
            <v>Onsite</v>
          </cell>
          <cell r="M263">
            <v>0</v>
          </cell>
        </row>
        <row r="264">
          <cell r="G264" t="str">
            <v>West Bengal</v>
          </cell>
          <cell r="I264" t="str">
            <v>Urban</v>
          </cell>
          <cell r="J264" t="str">
            <v>Onsite</v>
          </cell>
          <cell r="M264">
            <v>4</v>
          </cell>
        </row>
        <row r="265">
          <cell r="G265" t="str">
            <v>West Bengal</v>
          </cell>
          <cell r="I265" t="str">
            <v>Urban</v>
          </cell>
          <cell r="J265" t="str">
            <v>Onsite</v>
          </cell>
          <cell r="M265">
            <v>0</v>
          </cell>
        </row>
        <row r="266">
          <cell r="G266" t="str">
            <v>West Bengal</v>
          </cell>
          <cell r="I266" t="str">
            <v>Semi-Urban</v>
          </cell>
          <cell r="J266" t="str">
            <v>Onsite</v>
          </cell>
          <cell r="M266">
            <v>0</v>
          </cell>
        </row>
        <row r="267">
          <cell r="G267" t="str">
            <v>Jharkhand</v>
          </cell>
          <cell r="I267" t="str">
            <v>Metropolitan</v>
          </cell>
          <cell r="J267" t="str">
            <v>Onsite</v>
          </cell>
          <cell r="M267">
            <v>0</v>
          </cell>
        </row>
        <row r="268">
          <cell r="G268" t="str">
            <v>Jharkhand</v>
          </cell>
          <cell r="I268" t="str">
            <v>Metropolitan</v>
          </cell>
          <cell r="J268" t="str">
            <v>Onsite</v>
          </cell>
          <cell r="M268">
            <v>0</v>
          </cell>
        </row>
        <row r="269">
          <cell r="G269" t="str">
            <v>Odisha</v>
          </cell>
          <cell r="I269" t="str">
            <v>Urban</v>
          </cell>
          <cell r="J269" t="str">
            <v>Onsite</v>
          </cell>
          <cell r="M269">
            <v>0</v>
          </cell>
        </row>
        <row r="270">
          <cell r="G270" t="str">
            <v>West Bengal</v>
          </cell>
          <cell r="I270" t="str">
            <v>Semi-Urban</v>
          </cell>
          <cell r="J270" t="str">
            <v>Onsite</v>
          </cell>
          <cell r="M270">
            <v>0</v>
          </cell>
        </row>
        <row r="271">
          <cell r="G271" t="str">
            <v>Odisha</v>
          </cell>
          <cell r="I271" t="str">
            <v>Urban</v>
          </cell>
          <cell r="J271" t="str">
            <v>Onsite</v>
          </cell>
          <cell r="M271">
            <v>0</v>
          </cell>
        </row>
        <row r="272">
          <cell r="G272" t="str">
            <v>Odisha</v>
          </cell>
          <cell r="I272" t="str">
            <v>Urban</v>
          </cell>
          <cell r="J272" t="str">
            <v>Onsite</v>
          </cell>
          <cell r="M272">
            <v>0</v>
          </cell>
        </row>
        <row r="273">
          <cell r="G273" t="str">
            <v>Jharkhand</v>
          </cell>
          <cell r="I273" t="str">
            <v>Metropolitan</v>
          </cell>
          <cell r="J273" t="str">
            <v>Onsite</v>
          </cell>
          <cell r="M273">
            <v>0</v>
          </cell>
        </row>
        <row r="274">
          <cell r="G274" t="str">
            <v>West Bengal</v>
          </cell>
          <cell r="I274" t="str">
            <v>Semi-Urban</v>
          </cell>
          <cell r="J274" t="str">
            <v>Onsite</v>
          </cell>
          <cell r="M274">
            <v>0</v>
          </cell>
        </row>
        <row r="275">
          <cell r="G275" t="str">
            <v>Jharkhand</v>
          </cell>
          <cell r="I275" t="str">
            <v>Metropolitan</v>
          </cell>
          <cell r="J275" t="str">
            <v>Onsite</v>
          </cell>
          <cell r="M275">
            <v>0</v>
          </cell>
        </row>
        <row r="276">
          <cell r="G276" t="str">
            <v>Jharkhand</v>
          </cell>
          <cell r="I276" t="str">
            <v>Semi-Urban</v>
          </cell>
          <cell r="J276" t="str">
            <v>Onsite</v>
          </cell>
          <cell r="M276">
            <v>0</v>
          </cell>
        </row>
        <row r="277">
          <cell r="G277" t="str">
            <v>Bihar</v>
          </cell>
          <cell r="I277" t="str">
            <v>Metropolitan</v>
          </cell>
          <cell r="J277" t="str">
            <v>Onsite</v>
          </cell>
          <cell r="M277">
            <v>0</v>
          </cell>
        </row>
        <row r="278">
          <cell r="G278" t="str">
            <v>Bihar</v>
          </cell>
          <cell r="I278" t="str">
            <v>Metropolitan</v>
          </cell>
          <cell r="J278" t="str">
            <v>Onsite</v>
          </cell>
          <cell r="M278">
            <v>0</v>
          </cell>
        </row>
        <row r="279">
          <cell r="G279" t="str">
            <v>Jharkhand</v>
          </cell>
          <cell r="I279" t="str">
            <v>Urban</v>
          </cell>
          <cell r="J279" t="str">
            <v>Onsite</v>
          </cell>
          <cell r="M279">
            <v>0</v>
          </cell>
        </row>
        <row r="280">
          <cell r="G280" t="str">
            <v>Odisha</v>
          </cell>
          <cell r="I280" t="str">
            <v>Urban</v>
          </cell>
          <cell r="J280" t="str">
            <v>Onsite</v>
          </cell>
          <cell r="M280">
            <v>0</v>
          </cell>
        </row>
        <row r="281">
          <cell r="G281" t="str">
            <v>Jharkhand</v>
          </cell>
          <cell r="I281" t="str">
            <v>Semi-Urban</v>
          </cell>
          <cell r="J281" t="str">
            <v>Onsite</v>
          </cell>
          <cell r="M281">
            <v>0</v>
          </cell>
        </row>
        <row r="282">
          <cell r="G282" t="str">
            <v>Bihar</v>
          </cell>
          <cell r="I282" t="str">
            <v>Urban</v>
          </cell>
          <cell r="J282" t="str">
            <v>Onsite</v>
          </cell>
          <cell r="M282">
            <v>0</v>
          </cell>
        </row>
        <row r="283">
          <cell r="G283" t="str">
            <v>West Bengal</v>
          </cell>
          <cell r="I283" t="str">
            <v>Urban</v>
          </cell>
          <cell r="J283" t="str">
            <v>Onsite</v>
          </cell>
          <cell r="M283">
            <v>0</v>
          </cell>
        </row>
        <row r="284">
          <cell r="G284" t="str">
            <v>West Bengal</v>
          </cell>
          <cell r="I284" t="str">
            <v>Semi-Urban</v>
          </cell>
          <cell r="J284" t="str">
            <v>Onsite</v>
          </cell>
          <cell r="M284">
            <v>0</v>
          </cell>
        </row>
        <row r="285">
          <cell r="G285" t="str">
            <v>West Bengal</v>
          </cell>
          <cell r="I285" t="str">
            <v>Semi-Urban</v>
          </cell>
          <cell r="J285" t="str">
            <v>Onsite</v>
          </cell>
          <cell r="M285">
            <v>0</v>
          </cell>
        </row>
        <row r="286">
          <cell r="G286" t="str">
            <v>Jharkhand</v>
          </cell>
          <cell r="I286" t="str">
            <v>Urban</v>
          </cell>
          <cell r="J286" t="str">
            <v>Onsite</v>
          </cell>
          <cell r="M286">
            <v>0</v>
          </cell>
        </row>
        <row r="287">
          <cell r="G287" t="str">
            <v>Jharkhand</v>
          </cell>
          <cell r="I287" t="str">
            <v>Metropolitan</v>
          </cell>
          <cell r="J287" t="str">
            <v>Onsite</v>
          </cell>
          <cell r="M287">
            <v>0</v>
          </cell>
        </row>
        <row r="288">
          <cell r="G288" t="str">
            <v>Jharkhand</v>
          </cell>
          <cell r="I288" t="str">
            <v>Urban</v>
          </cell>
          <cell r="J288" t="str">
            <v>Onsite</v>
          </cell>
          <cell r="M288">
            <v>0</v>
          </cell>
        </row>
        <row r="289">
          <cell r="G289" t="str">
            <v>West Bengal</v>
          </cell>
          <cell r="I289" t="str">
            <v>Urban</v>
          </cell>
          <cell r="J289" t="str">
            <v>Onsite</v>
          </cell>
          <cell r="M289">
            <v>0</v>
          </cell>
        </row>
        <row r="290">
          <cell r="G290" t="str">
            <v>West Bengal</v>
          </cell>
          <cell r="I290" t="str">
            <v>Semi-Urban</v>
          </cell>
          <cell r="J290" t="str">
            <v>Onsite</v>
          </cell>
          <cell r="M290">
            <v>0</v>
          </cell>
        </row>
        <row r="291">
          <cell r="G291" t="str">
            <v>West Bengal</v>
          </cell>
          <cell r="I291" t="str">
            <v>Semi-Urban</v>
          </cell>
          <cell r="J291" t="str">
            <v>Onsite</v>
          </cell>
          <cell r="M291">
            <v>2</v>
          </cell>
        </row>
        <row r="292">
          <cell r="G292" t="str">
            <v>West Bengal</v>
          </cell>
          <cell r="I292" t="str">
            <v>Urban</v>
          </cell>
          <cell r="J292" t="str">
            <v>Onsite</v>
          </cell>
          <cell r="M292">
            <v>2</v>
          </cell>
        </row>
        <row r="293">
          <cell r="G293" t="str">
            <v>West Bengal</v>
          </cell>
          <cell r="I293" t="str">
            <v>Urban</v>
          </cell>
          <cell r="J293" t="str">
            <v>Onsite</v>
          </cell>
          <cell r="M293">
            <v>2</v>
          </cell>
        </row>
        <row r="294">
          <cell r="G294" t="str">
            <v>Bihar</v>
          </cell>
          <cell r="I294" t="str">
            <v>Semi-Urban</v>
          </cell>
          <cell r="J294" t="str">
            <v>Onsite</v>
          </cell>
          <cell r="M294">
            <v>2</v>
          </cell>
        </row>
        <row r="295">
          <cell r="G295" t="str">
            <v>Bihar</v>
          </cell>
          <cell r="I295" t="str">
            <v>Metropolitan</v>
          </cell>
          <cell r="J295" t="str">
            <v>Onsite</v>
          </cell>
          <cell r="M295">
            <v>2</v>
          </cell>
        </row>
        <row r="296">
          <cell r="G296" t="str">
            <v>Bihar</v>
          </cell>
          <cell r="I296" t="str">
            <v>Semi-Urban</v>
          </cell>
          <cell r="J296" t="str">
            <v>Onsite</v>
          </cell>
          <cell r="M296">
            <v>2</v>
          </cell>
        </row>
        <row r="297">
          <cell r="G297" t="str">
            <v>West Bengal</v>
          </cell>
          <cell r="I297" t="str">
            <v>Rural</v>
          </cell>
          <cell r="J297" t="str">
            <v>Onsite</v>
          </cell>
          <cell r="M297">
            <v>2</v>
          </cell>
        </row>
        <row r="298">
          <cell r="G298" t="str">
            <v>Odisha</v>
          </cell>
          <cell r="I298" t="str">
            <v>Rural</v>
          </cell>
          <cell r="J298" t="str">
            <v>Onsite</v>
          </cell>
          <cell r="M298">
            <v>0</v>
          </cell>
        </row>
        <row r="299">
          <cell r="G299" t="str">
            <v>Odisha</v>
          </cell>
          <cell r="I299" t="str">
            <v>Urban</v>
          </cell>
          <cell r="J299" t="str">
            <v>Onsite</v>
          </cell>
          <cell r="M299">
            <v>0</v>
          </cell>
        </row>
        <row r="300">
          <cell r="G300" t="str">
            <v>Jharkhand</v>
          </cell>
          <cell r="I300" t="str">
            <v>Semi-Urban</v>
          </cell>
          <cell r="J300" t="str">
            <v>Onsite</v>
          </cell>
          <cell r="M300">
            <v>0</v>
          </cell>
        </row>
        <row r="301">
          <cell r="G301" t="str">
            <v>West Bengal</v>
          </cell>
          <cell r="I301" t="str">
            <v>Rural</v>
          </cell>
          <cell r="J301" t="str">
            <v>Onsite</v>
          </cell>
          <cell r="M301">
            <v>0</v>
          </cell>
        </row>
        <row r="302">
          <cell r="G302" t="str">
            <v>West Bengal</v>
          </cell>
          <cell r="I302" t="str">
            <v>Rural</v>
          </cell>
          <cell r="J302" t="str">
            <v>Onsite</v>
          </cell>
          <cell r="M302">
            <v>0</v>
          </cell>
        </row>
        <row r="303">
          <cell r="G303" t="str">
            <v>West Bengal</v>
          </cell>
          <cell r="I303" t="str">
            <v>Urban</v>
          </cell>
          <cell r="J303" t="str">
            <v>Onsite</v>
          </cell>
          <cell r="M303">
            <v>0</v>
          </cell>
        </row>
        <row r="304">
          <cell r="G304" t="str">
            <v>West Bengal</v>
          </cell>
          <cell r="I304" t="str">
            <v>Urban</v>
          </cell>
          <cell r="J304" t="str">
            <v>Onsite</v>
          </cell>
          <cell r="M304">
            <v>0</v>
          </cell>
        </row>
        <row r="305">
          <cell r="G305" t="str">
            <v>West Bengal</v>
          </cell>
          <cell r="I305" t="str">
            <v>Urban</v>
          </cell>
          <cell r="J305" t="str">
            <v>Onsite</v>
          </cell>
          <cell r="M305">
            <v>0</v>
          </cell>
        </row>
        <row r="306">
          <cell r="G306" t="str">
            <v>West Bengal</v>
          </cell>
          <cell r="I306" t="str">
            <v>Urban</v>
          </cell>
          <cell r="J306" t="str">
            <v>Onsite</v>
          </cell>
          <cell r="M306">
            <v>0</v>
          </cell>
        </row>
        <row r="307">
          <cell r="G307" t="str">
            <v>Bihar</v>
          </cell>
          <cell r="I307" t="str">
            <v>Urban</v>
          </cell>
          <cell r="J307" t="str">
            <v>Onsite</v>
          </cell>
          <cell r="M307">
            <v>0</v>
          </cell>
        </row>
        <row r="308">
          <cell r="G308" t="str">
            <v>Bihar</v>
          </cell>
          <cell r="I308" t="str">
            <v>Semi-Urban</v>
          </cell>
          <cell r="J308" t="str">
            <v>Onsite</v>
          </cell>
          <cell r="M308">
            <v>0</v>
          </cell>
        </row>
        <row r="309">
          <cell r="G309" t="str">
            <v>West Bengal</v>
          </cell>
          <cell r="I309" t="str">
            <v>Semi-Urban</v>
          </cell>
          <cell r="J309" t="str">
            <v>Onsite</v>
          </cell>
          <cell r="M309">
            <v>0</v>
          </cell>
        </row>
        <row r="310">
          <cell r="G310" t="str">
            <v>West Bengal</v>
          </cell>
          <cell r="I310" t="str">
            <v>Semi-Urban</v>
          </cell>
          <cell r="J310" t="str">
            <v>Onsite</v>
          </cell>
          <cell r="M310">
            <v>0</v>
          </cell>
        </row>
        <row r="311">
          <cell r="G311" t="str">
            <v>Jharkhand</v>
          </cell>
          <cell r="I311" t="str">
            <v>Urban</v>
          </cell>
          <cell r="J311" t="str">
            <v>Onsite</v>
          </cell>
          <cell r="M311">
            <v>0</v>
          </cell>
        </row>
        <row r="312">
          <cell r="G312" t="str">
            <v>Odisha</v>
          </cell>
          <cell r="I312" t="str">
            <v>Urban</v>
          </cell>
          <cell r="J312" t="str">
            <v>Onsite</v>
          </cell>
          <cell r="M312">
            <v>0</v>
          </cell>
        </row>
        <row r="313">
          <cell r="G313" t="str">
            <v>West Bengal</v>
          </cell>
          <cell r="I313" t="str">
            <v>Urban</v>
          </cell>
          <cell r="J313" t="str">
            <v>Onsite</v>
          </cell>
          <cell r="M313">
            <v>0</v>
          </cell>
        </row>
        <row r="314">
          <cell r="G314" t="str">
            <v>West Bengal</v>
          </cell>
          <cell r="I314" t="str">
            <v>Urban</v>
          </cell>
          <cell r="J314" t="str">
            <v>Onsite</v>
          </cell>
          <cell r="M314">
            <v>0</v>
          </cell>
        </row>
        <row r="315">
          <cell r="G315" t="str">
            <v>West Bengal</v>
          </cell>
          <cell r="I315" t="str">
            <v>Rural</v>
          </cell>
          <cell r="J315" t="str">
            <v>Onsite</v>
          </cell>
          <cell r="M315">
            <v>0</v>
          </cell>
        </row>
        <row r="316">
          <cell r="G316" t="str">
            <v>West Bengal</v>
          </cell>
          <cell r="I316" t="str">
            <v>Urban</v>
          </cell>
          <cell r="J316" t="str">
            <v>Onsite</v>
          </cell>
          <cell r="M316">
            <v>0</v>
          </cell>
        </row>
        <row r="317">
          <cell r="G317" t="str">
            <v>West Bengal</v>
          </cell>
          <cell r="I317" t="str">
            <v>Urban</v>
          </cell>
          <cell r="J317" t="str">
            <v>Onsite</v>
          </cell>
          <cell r="M317">
            <v>0</v>
          </cell>
        </row>
        <row r="318">
          <cell r="G318" t="str">
            <v>Assam</v>
          </cell>
          <cell r="I318" t="str">
            <v>Urban</v>
          </cell>
          <cell r="J318" t="str">
            <v>Onsite</v>
          </cell>
          <cell r="M318">
            <v>0</v>
          </cell>
        </row>
        <row r="319">
          <cell r="G319" t="str">
            <v>Assam</v>
          </cell>
          <cell r="I319" t="str">
            <v>Urban</v>
          </cell>
          <cell r="J319" t="str">
            <v>Onsite</v>
          </cell>
          <cell r="M319">
            <v>0</v>
          </cell>
        </row>
        <row r="320">
          <cell r="G320" t="str">
            <v>Assam</v>
          </cell>
          <cell r="I320" t="str">
            <v>Urban</v>
          </cell>
          <cell r="J320" t="str">
            <v>Onsite</v>
          </cell>
          <cell r="M320">
            <v>0</v>
          </cell>
        </row>
        <row r="321">
          <cell r="G321" t="str">
            <v>West Bengal</v>
          </cell>
          <cell r="I321" t="str">
            <v>Semi-Urban</v>
          </cell>
          <cell r="J321" t="str">
            <v>Onsite</v>
          </cell>
          <cell r="M321">
            <v>0</v>
          </cell>
        </row>
        <row r="322">
          <cell r="G322" t="str">
            <v>West Bengal</v>
          </cell>
          <cell r="I322" t="str">
            <v>Semi-Urban</v>
          </cell>
          <cell r="J322" t="str">
            <v>Onsite</v>
          </cell>
          <cell r="M322">
            <v>0</v>
          </cell>
        </row>
        <row r="323">
          <cell r="G323" t="str">
            <v>Meghalaya</v>
          </cell>
          <cell r="I323" t="str">
            <v>Urban</v>
          </cell>
          <cell r="J323" t="str">
            <v>Onsite</v>
          </cell>
          <cell r="M323">
            <v>0</v>
          </cell>
        </row>
        <row r="324">
          <cell r="G324" t="str">
            <v>Odisha</v>
          </cell>
          <cell r="I324" t="str">
            <v>Semi-Urban</v>
          </cell>
          <cell r="J324" t="str">
            <v>Onsite</v>
          </cell>
          <cell r="M324">
            <v>0</v>
          </cell>
        </row>
        <row r="325">
          <cell r="G325" t="str">
            <v>Odisha</v>
          </cell>
          <cell r="I325" t="str">
            <v>Semi-Urban</v>
          </cell>
          <cell r="J325" t="str">
            <v>Onsite</v>
          </cell>
          <cell r="M325">
            <v>0</v>
          </cell>
        </row>
        <row r="326">
          <cell r="G326" t="str">
            <v>Odisha</v>
          </cell>
          <cell r="I326" t="str">
            <v>Urban</v>
          </cell>
          <cell r="J326" t="str">
            <v>Onsite</v>
          </cell>
          <cell r="M326">
            <v>0</v>
          </cell>
        </row>
        <row r="327">
          <cell r="G327" t="str">
            <v>Bihar</v>
          </cell>
          <cell r="I327" t="str">
            <v>Semi-Urban</v>
          </cell>
          <cell r="J327" t="str">
            <v>Onsite</v>
          </cell>
          <cell r="M327">
            <v>0</v>
          </cell>
        </row>
        <row r="328">
          <cell r="G328" t="str">
            <v>Bihar</v>
          </cell>
          <cell r="I328" t="str">
            <v>Semi-Urban</v>
          </cell>
          <cell r="J328" t="str">
            <v>Onsite</v>
          </cell>
          <cell r="M328">
            <v>0</v>
          </cell>
        </row>
        <row r="329">
          <cell r="G329" t="str">
            <v>Bihar</v>
          </cell>
          <cell r="I329" t="str">
            <v>Urban</v>
          </cell>
          <cell r="J329" t="str">
            <v>Onsite</v>
          </cell>
          <cell r="M329">
            <v>0</v>
          </cell>
        </row>
        <row r="330">
          <cell r="G330" t="str">
            <v>Bihar</v>
          </cell>
          <cell r="I330" t="str">
            <v>Urban</v>
          </cell>
          <cell r="J330" t="str">
            <v>Onsite</v>
          </cell>
          <cell r="M330">
            <v>0</v>
          </cell>
        </row>
        <row r="331">
          <cell r="G331" t="str">
            <v>Assam</v>
          </cell>
          <cell r="I331" t="str">
            <v>Rural</v>
          </cell>
          <cell r="J331" t="str">
            <v>Onsite</v>
          </cell>
          <cell r="M331">
            <v>0</v>
          </cell>
        </row>
        <row r="332">
          <cell r="G332" t="str">
            <v>Assam</v>
          </cell>
          <cell r="I332" t="str">
            <v>Metropolitan</v>
          </cell>
          <cell r="J332" t="str">
            <v>Onsite</v>
          </cell>
          <cell r="M332">
            <v>0</v>
          </cell>
        </row>
        <row r="333">
          <cell r="G333" t="str">
            <v>West Bengal</v>
          </cell>
          <cell r="I333" t="str">
            <v>Rural</v>
          </cell>
          <cell r="J333" t="str">
            <v>Onsite</v>
          </cell>
          <cell r="M333">
            <v>0</v>
          </cell>
        </row>
        <row r="334">
          <cell r="G334" t="str">
            <v>Bihar</v>
          </cell>
          <cell r="I334" t="str">
            <v>Urban</v>
          </cell>
          <cell r="J334" t="str">
            <v>Onsite</v>
          </cell>
          <cell r="M334">
            <v>0</v>
          </cell>
        </row>
        <row r="335">
          <cell r="G335" t="str">
            <v>Bihar</v>
          </cell>
          <cell r="I335" t="str">
            <v>Urban</v>
          </cell>
          <cell r="J335" t="str">
            <v>Onsite</v>
          </cell>
          <cell r="M335">
            <v>0</v>
          </cell>
        </row>
        <row r="336">
          <cell r="G336" t="str">
            <v>Assam</v>
          </cell>
          <cell r="I336" t="str">
            <v>Rural</v>
          </cell>
          <cell r="J336" t="str">
            <v>Onsite</v>
          </cell>
          <cell r="M336">
            <v>0</v>
          </cell>
        </row>
        <row r="337">
          <cell r="G337" t="str">
            <v>Assam</v>
          </cell>
          <cell r="I337" t="str">
            <v>Semi-Urban</v>
          </cell>
          <cell r="J337" t="str">
            <v>Onsite</v>
          </cell>
          <cell r="M337">
            <v>0</v>
          </cell>
        </row>
        <row r="338">
          <cell r="G338" t="str">
            <v>West Bengal</v>
          </cell>
          <cell r="I338" t="str">
            <v>Semi-Urban</v>
          </cell>
          <cell r="J338" t="str">
            <v>Onsite</v>
          </cell>
          <cell r="M338">
            <v>0</v>
          </cell>
        </row>
        <row r="339">
          <cell r="G339" t="str">
            <v>Bihar</v>
          </cell>
          <cell r="I339" t="str">
            <v>Semi-Urban</v>
          </cell>
          <cell r="J339" t="str">
            <v>Onsite</v>
          </cell>
          <cell r="M339">
            <v>0</v>
          </cell>
        </row>
        <row r="340">
          <cell r="G340" t="str">
            <v>Bihar</v>
          </cell>
          <cell r="I340" t="str">
            <v>Urban</v>
          </cell>
          <cell r="J340" t="str">
            <v>Onsite</v>
          </cell>
          <cell r="M340">
            <v>0</v>
          </cell>
        </row>
        <row r="341">
          <cell r="G341" t="str">
            <v>Bihar</v>
          </cell>
          <cell r="I341" t="str">
            <v>Urban</v>
          </cell>
          <cell r="J341" t="str">
            <v>Onsite</v>
          </cell>
          <cell r="M341">
            <v>0</v>
          </cell>
        </row>
        <row r="342">
          <cell r="G342" t="str">
            <v>Bihar</v>
          </cell>
          <cell r="I342" t="str">
            <v>Semi-Urban</v>
          </cell>
          <cell r="J342" t="str">
            <v>Onsite</v>
          </cell>
          <cell r="M342">
            <v>0</v>
          </cell>
        </row>
        <row r="343">
          <cell r="G343" t="str">
            <v>Bihar</v>
          </cell>
          <cell r="I343" t="str">
            <v>Urban</v>
          </cell>
          <cell r="J343" t="str">
            <v>Onsite</v>
          </cell>
          <cell r="M343">
            <v>0</v>
          </cell>
        </row>
        <row r="344">
          <cell r="G344" t="str">
            <v>Tripura</v>
          </cell>
          <cell r="I344" t="str">
            <v>Urban</v>
          </cell>
          <cell r="J344" t="str">
            <v>Onsite</v>
          </cell>
          <cell r="M344">
            <v>0</v>
          </cell>
        </row>
        <row r="345">
          <cell r="G345" t="str">
            <v>Tripura</v>
          </cell>
          <cell r="I345" t="str">
            <v>Urban</v>
          </cell>
          <cell r="J345" t="str">
            <v>Onsite</v>
          </cell>
          <cell r="M345">
            <v>0</v>
          </cell>
        </row>
        <row r="346">
          <cell r="G346" t="str">
            <v>Tripura</v>
          </cell>
          <cell r="I346" t="str">
            <v>Semi-Urban</v>
          </cell>
          <cell r="J346" t="str">
            <v>Onsite</v>
          </cell>
          <cell r="M346">
            <v>0</v>
          </cell>
        </row>
        <row r="347">
          <cell r="G347" t="str">
            <v>Tripura</v>
          </cell>
          <cell r="I347" t="str">
            <v>Semi-Urban</v>
          </cell>
          <cell r="J347" t="str">
            <v>Onsite</v>
          </cell>
          <cell r="M347">
            <v>0</v>
          </cell>
        </row>
        <row r="348">
          <cell r="G348" t="str">
            <v>Tripura</v>
          </cell>
          <cell r="I348" t="str">
            <v>Semi-Urban</v>
          </cell>
          <cell r="J348" t="str">
            <v>Onsite</v>
          </cell>
          <cell r="M348">
            <v>0</v>
          </cell>
        </row>
        <row r="349">
          <cell r="G349" t="str">
            <v>Odisha</v>
          </cell>
          <cell r="I349" t="str">
            <v>Semi-Urban</v>
          </cell>
          <cell r="J349" t="str">
            <v>Onsite</v>
          </cell>
          <cell r="M349">
            <v>0</v>
          </cell>
        </row>
        <row r="350">
          <cell r="G350" t="str">
            <v>Bihar</v>
          </cell>
          <cell r="I350" t="str">
            <v>Urban</v>
          </cell>
          <cell r="J350" t="str">
            <v>Onsite</v>
          </cell>
          <cell r="M350">
            <v>0</v>
          </cell>
        </row>
        <row r="351">
          <cell r="G351" t="str">
            <v>Bihar</v>
          </cell>
          <cell r="I351" t="str">
            <v>Semi-Urban</v>
          </cell>
          <cell r="J351" t="str">
            <v>Onsite</v>
          </cell>
          <cell r="M351">
            <v>0</v>
          </cell>
        </row>
        <row r="352">
          <cell r="G352" t="str">
            <v>Bihar</v>
          </cell>
          <cell r="I352" t="str">
            <v>Semi-Urban</v>
          </cell>
          <cell r="J352" t="str">
            <v>Onsite</v>
          </cell>
          <cell r="M352">
            <v>0</v>
          </cell>
        </row>
        <row r="353">
          <cell r="G353" t="str">
            <v>Assam</v>
          </cell>
          <cell r="I353" t="str">
            <v>Semi-Urban</v>
          </cell>
          <cell r="J353" t="str">
            <v>Onsite</v>
          </cell>
          <cell r="M353">
            <v>0</v>
          </cell>
        </row>
        <row r="354">
          <cell r="G354" t="str">
            <v>Assam</v>
          </cell>
          <cell r="I354" t="str">
            <v>Urban</v>
          </cell>
          <cell r="J354" t="str">
            <v>Onsite</v>
          </cell>
          <cell r="M354">
            <v>0</v>
          </cell>
        </row>
        <row r="355">
          <cell r="G355" t="str">
            <v>Assam</v>
          </cell>
          <cell r="I355" t="str">
            <v>Semi-Urban</v>
          </cell>
          <cell r="J355" t="str">
            <v>Onsite</v>
          </cell>
          <cell r="M355">
            <v>0</v>
          </cell>
        </row>
        <row r="356">
          <cell r="G356" t="str">
            <v>Assam</v>
          </cell>
          <cell r="I356" t="str">
            <v>Rural</v>
          </cell>
          <cell r="J356" t="str">
            <v>Onsite</v>
          </cell>
          <cell r="M356">
            <v>0</v>
          </cell>
        </row>
        <row r="357">
          <cell r="G357" t="str">
            <v>Assam</v>
          </cell>
          <cell r="I357" t="str">
            <v>Semi-Urban</v>
          </cell>
          <cell r="J357" t="str">
            <v>Onsite</v>
          </cell>
          <cell r="M357">
            <v>0</v>
          </cell>
        </row>
        <row r="358">
          <cell r="G358" t="str">
            <v>Assam</v>
          </cell>
          <cell r="I358" t="str">
            <v>Semi-Urban</v>
          </cell>
          <cell r="J358" t="str">
            <v>Onsite</v>
          </cell>
          <cell r="M358">
            <v>0</v>
          </cell>
        </row>
        <row r="359">
          <cell r="G359" t="str">
            <v>Assam</v>
          </cell>
          <cell r="I359" t="str">
            <v>Semi-Urban</v>
          </cell>
          <cell r="J359" t="str">
            <v>Onsite</v>
          </cell>
          <cell r="M359">
            <v>0</v>
          </cell>
        </row>
        <row r="360">
          <cell r="G360" t="str">
            <v>Assam</v>
          </cell>
          <cell r="I360" t="str">
            <v>Semi-Urban</v>
          </cell>
          <cell r="J360" t="str">
            <v>Onsite</v>
          </cell>
          <cell r="M360">
            <v>0</v>
          </cell>
        </row>
        <row r="361">
          <cell r="G361" t="str">
            <v>Assam</v>
          </cell>
          <cell r="I361" t="str">
            <v>Semi-Urban</v>
          </cell>
          <cell r="J361" t="str">
            <v>Onsite</v>
          </cell>
          <cell r="M361">
            <v>0</v>
          </cell>
        </row>
        <row r="362">
          <cell r="G362" t="str">
            <v>Assam</v>
          </cell>
          <cell r="I362" t="str">
            <v>Semi-Urban</v>
          </cell>
          <cell r="J362" t="str">
            <v>Onsite</v>
          </cell>
          <cell r="M362">
            <v>0</v>
          </cell>
        </row>
        <row r="363">
          <cell r="G363" t="str">
            <v>Tripura</v>
          </cell>
          <cell r="I363" t="str">
            <v>Semi-Urban</v>
          </cell>
          <cell r="J363" t="str">
            <v>Onsite</v>
          </cell>
          <cell r="M363">
            <v>0</v>
          </cell>
        </row>
        <row r="364">
          <cell r="G364" t="str">
            <v>Tripura</v>
          </cell>
          <cell r="I364" t="str">
            <v>Semi-Urban</v>
          </cell>
          <cell r="J364" t="str">
            <v>Onsite</v>
          </cell>
          <cell r="M364">
            <v>0</v>
          </cell>
        </row>
        <row r="365">
          <cell r="G365" t="str">
            <v>Tripura</v>
          </cell>
          <cell r="I365" t="str">
            <v>Semi-Urban</v>
          </cell>
          <cell r="J365" t="str">
            <v>Onsite</v>
          </cell>
          <cell r="M365">
            <v>0</v>
          </cell>
        </row>
        <row r="366">
          <cell r="G366" t="str">
            <v>West Bengal</v>
          </cell>
          <cell r="I366" t="str">
            <v>Rural</v>
          </cell>
          <cell r="J366" t="str">
            <v>Onsite</v>
          </cell>
          <cell r="M366">
            <v>0</v>
          </cell>
        </row>
        <row r="367">
          <cell r="G367" t="str">
            <v>West Bengal</v>
          </cell>
          <cell r="I367" t="str">
            <v>Rural</v>
          </cell>
          <cell r="J367" t="str">
            <v>Onsite</v>
          </cell>
          <cell r="M367">
            <v>0</v>
          </cell>
        </row>
        <row r="368">
          <cell r="G368" t="str">
            <v>Bihar</v>
          </cell>
          <cell r="I368" t="str">
            <v>Rural</v>
          </cell>
          <cell r="J368" t="str">
            <v>Onsite</v>
          </cell>
          <cell r="M368">
            <v>0</v>
          </cell>
        </row>
        <row r="369">
          <cell r="G369" t="str">
            <v>West Bengal</v>
          </cell>
          <cell r="I369" t="str">
            <v>Rural</v>
          </cell>
          <cell r="J369" t="str">
            <v>Onsite</v>
          </cell>
          <cell r="M369">
            <v>0</v>
          </cell>
        </row>
        <row r="370">
          <cell r="G370" t="str">
            <v>Bihar</v>
          </cell>
          <cell r="I370" t="str">
            <v>Rural</v>
          </cell>
          <cell r="J370" t="str">
            <v>Onsite</v>
          </cell>
          <cell r="M370">
            <v>0</v>
          </cell>
        </row>
        <row r="371">
          <cell r="G371" t="str">
            <v>Bihar</v>
          </cell>
          <cell r="I371" t="str">
            <v>Rural</v>
          </cell>
          <cell r="J371" t="str">
            <v>Onsite</v>
          </cell>
          <cell r="M371">
            <v>0</v>
          </cell>
        </row>
        <row r="372">
          <cell r="G372" t="str">
            <v>Bihar</v>
          </cell>
          <cell r="I372" t="str">
            <v>Rural</v>
          </cell>
          <cell r="J372" t="str">
            <v>Onsite</v>
          </cell>
          <cell r="M372">
            <v>0</v>
          </cell>
        </row>
        <row r="373">
          <cell r="G373" t="str">
            <v>Bihar</v>
          </cell>
          <cell r="I373" t="str">
            <v>Rural</v>
          </cell>
          <cell r="J373" t="str">
            <v>Onsite</v>
          </cell>
          <cell r="M373">
            <v>0</v>
          </cell>
        </row>
        <row r="374">
          <cell r="G374" t="str">
            <v>Bihar</v>
          </cell>
          <cell r="I374" t="str">
            <v>Rural</v>
          </cell>
          <cell r="J374" t="str">
            <v>Onsite</v>
          </cell>
          <cell r="M374">
            <v>0</v>
          </cell>
        </row>
        <row r="375">
          <cell r="G375" t="str">
            <v>Bihar</v>
          </cell>
          <cell r="I375" t="str">
            <v>Rural</v>
          </cell>
          <cell r="J375" t="str">
            <v>Onsite</v>
          </cell>
          <cell r="M375">
            <v>0</v>
          </cell>
        </row>
        <row r="376">
          <cell r="G376" t="str">
            <v>Odisha</v>
          </cell>
          <cell r="I376" t="str">
            <v>Semi-Urban</v>
          </cell>
          <cell r="J376" t="str">
            <v>Onsite</v>
          </cell>
          <cell r="M376">
            <v>0</v>
          </cell>
        </row>
        <row r="377">
          <cell r="G377" t="str">
            <v>Odisha</v>
          </cell>
          <cell r="I377" t="str">
            <v>Rural</v>
          </cell>
          <cell r="J377" t="str">
            <v>Onsite</v>
          </cell>
          <cell r="M377">
            <v>0</v>
          </cell>
        </row>
        <row r="378">
          <cell r="G378" t="str">
            <v>West Bengal</v>
          </cell>
          <cell r="I378" t="str">
            <v>Rural</v>
          </cell>
          <cell r="J378" t="str">
            <v>Onsite</v>
          </cell>
          <cell r="M378">
            <v>0</v>
          </cell>
        </row>
        <row r="379">
          <cell r="G379" t="str">
            <v>West Bengal</v>
          </cell>
          <cell r="I379" t="str">
            <v>Rural</v>
          </cell>
          <cell r="J379" t="str">
            <v>Onsite</v>
          </cell>
          <cell r="M379">
            <v>0</v>
          </cell>
        </row>
        <row r="380">
          <cell r="G380" t="str">
            <v>West Bengal</v>
          </cell>
          <cell r="I380" t="str">
            <v>Rural</v>
          </cell>
          <cell r="J380" t="str">
            <v>Onsite</v>
          </cell>
          <cell r="M380">
            <v>0</v>
          </cell>
        </row>
        <row r="381">
          <cell r="G381" t="str">
            <v>Maharashtra</v>
          </cell>
          <cell r="I381" t="str">
            <v>Metropolitan</v>
          </cell>
          <cell r="J381" t="str">
            <v>Onsite</v>
          </cell>
          <cell r="M381">
            <v>1</v>
          </cell>
        </row>
        <row r="382">
          <cell r="G382" t="str">
            <v>Maharashtra</v>
          </cell>
          <cell r="I382" t="str">
            <v>Metropolitan</v>
          </cell>
          <cell r="J382" t="str">
            <v>Onsite</v>
          </cell>
          <cell r="M382">
            <v>1</v>
          </cell>
        </row>
        <row r="383">
          <cell r="G383" t="str">
            <v>Maharashtra</v>
          </cell>
          <cell r="I383" t="str">
            <v>Metropolitan</v>
          </cell>
          <cell r="J383" t="str">
            <v>Onsite</v>
          </cell>
          <cell r="M383">
            <v>4</v>
          </cell>
        </row>
        <row r="384">
          <cell r="G384" t="str">
            <v>Maharashtra</v>
          </cell>
          <cell r="I384" t="str">
            <v>Metropolitan</v>
          </cell>
          <cell r="J384" t="str">
            <v>Onsite</v>
          </cell>
          <cell r="M384">
            <v>0</v>
          </cell>
        </row>
        <row r="385">
          <cell r="G385" t="str">
            <v>Maharashtra</v>
          </cell>
          <cell r="I385" t="str">
            <v>Metropolitan</v>
          </cell>
          <cell r="J385" t="str">
            <v>Onsite</v>
          </cell>
          <cell r="M385">
            <v>0</v>
          </cell>
        </row>
        <row r="386">
          <cell r="G386" t="str">
            <v>Maharashtra</v>
          </cell>
          <cell r="I386" t="str">
            <v>Metropolitan</v>
          </cell>
          <cell r="J386" t="str">
            <v>Onsite</v>
          </cell>
          <cell r="M386">
            <v>0</v>
          </cell>
        </row>
        <row r="387">
          <cell r="G387" t="str">
            <v>Maharashtra</v>
          </cell>
          <cell r="I387" t="str">
            <v>Metropolitan</v>
          </cell>
          <cell r="J387" t="str">
            <v>Onsite</v>
          </cell>
          <cell r="M387">
            <v>0</v>
          </cell>
        </row>
        <row r="388">
          <cell r="G388" t="str">
            <v>Maharashtra</v>
          </cell>
          <cell r="I388" t="str">
            <v>Metropolitan</v>
          </cell>
          <cell r="J388" t="str">
            <v>Onsite</v>
          </cell>
          <cell r="M388">
            <v>0</v>
          </cell>
        </row>
        <row r="389">
          <cell r="G389" t="str">
            <v>Maharashtra</v>
          </cell>
          <cell r="I389" t="str">
            <v>Metropolitan</v>
          </cell>
          <cell r="J389" t="str">
            <v>Onsite</v>
          </cell>
          <cell r="M389">
            <v>1</v>
          </cell>
        </row>
        <row r="390">
          <cell r="G390" t="str">
            <v>Maharashtra</v>
          </cell>
          <cell r="I390" t="str">
            <v>Metropolitan</v>
          </cell>
          <cell r="J390" t="str">
            <v>Onsite</v>
          </cell>
          <cell r="M390">
            <v>0</v>
          </cell>
        </row>
        <row r="391">
          <cell r="G391" t="str">
            <v>Maharashtra</v>
          </cell>
          <cell r="I391" t="str">
            <v>Urban</v>
          </cell>
          <cell r="J391" t="str">
            <v>Onsite</v>
          </cell>
          <cell r="M391">
            <v>0</v>
          </cell>
        </row>
        <row r="392">
          <cell r="G392" t="str">
            <v>Maharashtra</v>
          </cell>
          <cell r="I392" t="str">
            <v>Metropolitan</v>
          </cell>
          <cell r="J392" t="str">
            <v>Onsite</v>
          </cell>
          <cell r="M392">
            <v>0</v>
          </cell>
        </row>
        <row r="393">
          <cell r="G393" t="str">
            <v>Maharashtra</v>
          </cell>
          <cell r="I393" t="str">
            <v>Metropolitan</v>
          </cell>
          <cell r="J393" t="str">
            <v>Onsite</v>
          </cell>
          <cell r="M393">
            <v>0</v>
          </cell>
        </row>
        <row r="394">
          <cell r="G394" t="str">
            <v>Maharashtra</v>
          </cell>
          <cell r="I394" t="str">
            <v>Metropolitan</v>
          </cell>
          <cell r="J394" t="str">
            <v>Onsite</v>
          </cell>
          <cell r="M394">
            <v>0</v>
          </cell>
        </row>
        <row r="395">
          <cell r="G395" t="str">
            <v>Maharashtra</v>
          </cell>
          <cell r="I395" t="str">
            <v>Metropolitan</v>
          </cell>
          <cell r="J395" t="str">
            <v>Onsite</v>
          </cell>
          <cell r="M395">
            <v>0</v>
          </cell>
        </row>
        <row r="396">
          <cell r="G396" t="str">
            <v>Gujarat</v>
          </cell>
          <cell r="I396" t="str">
            <v>Metropolitan</v>
          </cell>
          <cell r="J396" t="str">
            <v>Onsite</v>
          </cell>
          <cell r="M396">
            <v>0</v>
          </cell>
        </row>
        <row r="397">
          <cell r="G397" t="str">
            <v>Maharashtra</v>
          </cell>
          <cell r="I397" t="str">
            <v>Metropolitan</v>
          </cell>
          <cell r="J397" t="str">
            <v>Onsite</v>
          </cell>
          <cell r="M397">
            <v>0</v>
          </cell>
        </row>
        <row r="398">
          <cell r="G398" t="str">
            <v>Maharashtra</v>
          </cell>
          <cell r="I398" t="str">
            <v>Metropolitan</v>
          </cell>
          <cell r="J398" t="str">
            <v>Onsite</v>
          </cell>
          <cell r="M398">
            <v>0</v>
          </cell>
        </row>
        <row r="399">
          <cell r="G399" t="str">
            <v>Gujarat</v>
          </cell>
          <cell r="I399" t="str">
            <v>Urban</v>
          </cell>
          <cell r="J399" t="str">
            <v>Onsite</v>
          </cell>
          <cell r="M399">
            <v>0</v>
          </cell>
        </row>
        <row r="400">
          <cell r="G400" t="str">
            <v>Gujarat</v>
          </cell>
          <cell r="I400" t="str">
            <v>Metropolitan</v>
          </cell>
          <cell r="J400" t="str">
            <v>Onsite</v>
          </cell>
          <cell r="M400">
            <v>0</v>
          </cell>
        </row>
        <row r="401">
          <cell r="G401" t="str">
            <v>Gujarat</v>
          </cell>
          <cell r="I401" t="str">
            <v>Metropolitan</v>
          </cell>
          <cell r="J401" t="str">
            <v>Onsite</v>
          </cell>
          <cell r="M401">
            <v>0</v>
          </cell>
        </row>
        <row r="402">
          <cell r="G402" t="str">
            <v>Gujarat</v>
          </cell>
          <cell r="I402" t="str">
            <v>Urban</v>
          </cell>
          <cell r="J402" t="str">
            <v>Onsite</v>
          </cell>
          <cell r="M402">
            <v>0</v>
          </cell>
        </row>
        <row r="403">
          <cell r="G403" t="str">
            <v>Maharashtra</v>
          </cell>
          <cell r="I403" t="str">
            <v>Urban</v>
          </cell>
          <cell r="J403" t="str">
            <v>Onsite</v>
          </cell>
          <cell r="M403">
            <v>0</v>
          </cell>
        </row>
        <row r="404">
          <cell r="G404" t="str">
            <v>Maharashtra</v>
          </cell>
          <cell r="I404" t="str">
            <v>Urban</v>
          </cell>
          <cell r="J404" t="str">
            <v>Onsite</v>
          </cell>
          <cell r="M404">
            <v>0</v>
          </cell>
        </row>
        <row r="405">
          <cell r="G405" t="str">
            <v>Maharashtra</v>
          </cell>
          <cell r="I405" t="str">
            <v>Semi-Urban</v>
          </cell>
          <cell r="J405" t="str">
            <v>Onsite</v>
          </cell>
          <cell r="M405">
            <v>0</v>
          </cell>
        </row>
        <row r="406">
          <cell r="G406" t="str">
            <v>Maharashtra</v>
          </cell>
          <cell r="I406" t="str">
            <v>Metropolitan</v>
          </cell>
          <cell r="J406" t="str">
            <v>Onsite</v>
          </cell>
          <cell r="M406">
            <v>0</v>
          </cell>
        </row>
        <row r="407">
          <cell r="G407" t="str">
            <v>Maharashtra</v>
          </cell>
          <cell r="I407" t="str">
            <v>Metropolitan</v>
          </cell>
          <cell r="J407" t="str">
            <v>Onsite</v>
          </cell>
          <cell r="M407">
            <v>0</v>
          </cell>
        </row>
        <row r="408">
          <cell r="G408" t="str">
            <v>Maharashtra</v>
          </cell>
          <cell r="I408" t="str">
            <v>Urban</v>
          </cell>
          <cell r="J408" t="str">
            <v>Onsite</v>
          </cell>
          <cell r="M408">
            <v>0</v>
          </cell>
        </row>
        <row r="409">
          <cell r="G409" t="str">
            <v>Gujarat</v>
          </cell>
          <cell r="I409" t="str">
            <v>Urban</v>
          </cell>
          <cell r="J409" t="str">
            <v>Onsite</v>
          </cell>
          <cell r="M409">
            <v>0</v>
          </cell>
        </row>
        <row r="410">
          <cell r="G410" t="str">
            <v>Maharashtra</v>
          </cell>
          <cell r="I410" t="str">
            <v>Urban</v>
          </cell>
          <cell r="J410" t="str">
            <v>Onsite</v>
          </cell>
          <cell r="M410">
            <v>0</v>
          </cell>
        </row>
        <row r="411">
          <cell r="G411" t="str">
            <v>Maharashtra</v>
          </cell>
          <cell r="I411" t="str">
            <v>Urban</v>
          </cell>
          <cell r="J411" t="str">
            <v>Onsite</v>
          </cell>
          <cell r="M411">
            <v>0</v>
          </cell>
        </row>
        <row r="412">
          <cell r="G412" t="str">
            <v>Gujarat</v>
          </cell>
          <cell r="I412" t="str">
            <v>Urban</v>
          </cell>
          <cell r="J412" t="str">
            <v>Onsite</v>
          </cell>
          <cell r="M412">
            <v>0</v>
          </cell>
        </row>
        <row r="413">
          <cell r="G413" t="str">
            <v>Maharashtra</v>
          </cell>
          <cell r="I413" t="str">
            <v>Urban</v>
          </cell>
          <cell r="J413" t="str">
            <v>Onsite</v>
          </cell>
          <cell r="M413">
            <v>0</v>
          </cell>
        </row>
        <row r="414">
          <cell r="G414" t="str">
            <v>Gujarat</v>
          </cell>
          <cell r="I414" t="str">
            <v>Metropolitan</v>
          </cell>
          <cell r="J414" t="str">
            <v>Onsite</v>
          </cell>
          <cell r="M414">
            <v>0</v>
          </cell>
        </row>
        <row r="415">
          <cell r="G415" t="str">
            <v>Gujarat</v>
          </cell>
          <cell r="I415" t="str">
            <v>Metropolitan</v>
          </cell>
          <cell r="J415" t="str">
            <v>Onsite</v>
          </cell>
          <cell r="M415">
            <v>0</v>
          </cell>
        </row>
        <row r="416">
          <cell r="G416" t="str">
            <v>Maharashtra</v>
          </cell>
          <cell r="I416" t="str">
            <v>Urban</v>
          </cell>
          <cell r="J416" t="str">
            <v>Onsite</v>
          </cell>
          <cell r="M416">
            <v>0</v>
          </cell>
        </row>
        <row r="417">
          <cell r="G417" t="str">
            <v>Gujarat</v>
          </cell>
          <cell r="I417" t="str">
            <v>Semi-Urban</v>
          </cell>
          <cell r="J417" t="str">
            <v>Onsite</v>
          </cell>
          <cell r="M417">
            <v>0</v>
          </cell>
        </row>
        <row r="418">
          <cell r="G418" t="str">
            <v>Gujarat</v>
          </cell>
          <cell r="I418" t="str">
            <v>Urban</v>
          </cell>
          <cell r="J418" t="str">
            <v>Onsite</v>
          </cell>
          <cell r="M418">
            <v>0</v>
          </cell>
        </row>
        <row r="419">
          <cell r="G419" t="str">
            <v>Maharashtra</v>
          </cell>
          <cell r="I419" t="str">
            <v>Urban</v>
          </cell>
          <cell r="J419" t="str">
            <v>Onsite</v>
          </cell>
          <cell r="M419">
            <v>0</v>
          </cell>
        </row>
        <row r="420">
          <cell r="G420" t="str">
            <v>Gujarat</v>
          </cell>
          <cell r="I420" t="str">
            <v>Urban</v>
          </cell>
          <cell r="J420" t="str">
            <v>Onsite</v>
          </cell>
          <cell r="M420">
            <v>0</v>
          </cell>
        </row>
        <row r="421">
          <cell r="G421" t="str">
            <v>Gujarat</v>
          </cell>
          <cell r="I421" t="str">
            <v>Semi-Urban</v>
          </cell>
          <cell r="J421" t="str">
            <v>Onsite</v>
          </cell>
          <cell r="M421">
            <v>0</v>
          </cell>
        </row>
        <row r="422">
          <cell r="G422" t="str">
            <v>Gujarat</v>
          </cell>
          <cell r="I422" t="str">
            <v>Metropolitan</v>
          </cell>
          <cell r="J422" t="str">
            <v>Onsite</v>
          </cell>
          <cell r="M422">
            <v>0</v>
          </cell>
        </row>
        <row r="423">
          <cell r="G423" t="str">
            <v>Gujarat</v>
          </cell>
          <cell r="I423" t="str">
            <v>Metropolitan</v>
          </cell>
          <cell r="J423" t="str">
            <v>Onsite</v>
          </cell>
          <cell r="M423">
            <v>0</v>
          </cell>
        </row>
        <row r="424">
          <cell r="G424" t="str">
            <v>Gujarat</v>
          </cell>
          <cell r="I424" t="str">
            <v>Semi-Urban</v>
          </cell>
          <cell r="J424" t="str">
            <v>Onsite</v>
          </cell>
          <cell r="M424">
            <v>0</v>
          </cell>
        </row>
        <row r="425">
          <cell r="G425" t="str">
            <v>Gujarat</v>
          </cell>
          <cell r="I425" t="str">
            <v>Semi-Urban</v>
          </cell>
          <cell r="J425" t="str">
            <v>Onsite</v>
          </cell>
          <cell r="M425">
            <v>0</v>
          </cell>
        </row>
        <row r="426">
          <cell r="G426" t="str">
            <v>Maharashtra</v>
          </cell>
          <cell r="I426" t="str">
            <v>Urban</v>
          </cell>
          <cell r="J426" t="str">
            <v>Onsite</v>
          </cell>
          <cell r="M426">
            <v>0</v>
          </cell>
        </row>
        <row r="427">
          <cell r="G427" t="str">
            <v>Maharashtra</v>
          </cell>
          <cell r="I427" t="str">
            <v>Metropolitan</v>
          </cell>
          <cell r="J427" t="str">
            <v>Onsite</v>
          </cell>
          <cell r="M427">
            <v>0</v>
          </cell>
        </row>
        <row r="428">
          <cell r="G428" t="str">
            <v>Maharashtra</v>
          </cell>
          <cell r="I428" t="str">
            <v>Metropolitan</v>
          </cell>
          <cell r="J428" t="str">
            <v>Onsite</v>
          </cell>
          <cell r="M428">
            <v>0</v>
          </cell>
        </row>
        <row r="429">
          <cell r="G429" t="str">
            <v>Gujarat</v>
          </cell>
          <cell r="I429" t="str">
            <v>Urban</v>
          </cell>
          <cell r="J429" t="str">
            <v>Onsite</v>
          </cell>
          <cell r="M429">
            <v>0</v>
          </cell>
        </row>
        <row r="430">
          <cell r="G430" t="str">
            <v>Gujarat</v>
          </cell>
          <cell r="I430" t="str">
            <v>Rural</v>
          </cell>
          <cell r="J430" t="str">
            <v>Onsite</v>
          </cell>
          <cell r="M430">
            <v>0</v>
          </cell>
        </row>
        <row r="431">
          <cell r="G431" t="str">
            <v>Maharashtra</v>
          </cell>
          <cell r="I431" t="str">
            <v>Metropolitan</v>
          </cell>
          <cell r="J431" t="str">
            <v>Onsite</v>
          </cell>
          <cell r="M431">
            <v>0</v>
          </cell>
        </row>
        <row r="432">
          <cell r="G432" t="str">
            <v>Gujarat</v>
          </cell>
          <cell r="I432" t="str">
            <v>Urban</v>
          </cell>
          <cell r="J432" t="str">
            <v>Onsite</v>
          </cell>
          <cell r="M432">
            <v>0</v>
          </cell>
        </row>
        <row r="433">
          <cell r="G433" t="str">
            <v>Gujarat</v>
          </cell>
          <cell r="I433" t="str">
            <v>Urban</v>
          </cell>
          <cell r="J433" t="str">
            <v>Onsite</v>
          </cell>
          <cell r="M433">
            <v>0</v>
          </cell>
        </row>
        <row r="434">
          <cell r="G434" t="str">
            <v>Gujarat</v>
          </cell>
          <cell r="I434" t="str">
            <v>Urban</v>
          </cell>
          <cell r="J434" t="str">
            <v>Onsite</v>
          </cell>
          <cell r="M434">
            <v>0</v>
          </cell>
        </row>
        <row r="435">
          <cell r="G435" t="str">
            <v>Karnataka</v>
          </cell>
          <cell r="I435" t="str">
            <v>Metropolitan</v>
          </cell>
          <cell r="J435" t="str">
            <v>Onsite</v>
          </cell>
          <cell r="M435">
            <v>0</v>
          </cell>
        </row>
        <row r="436">
          <cell r="G436" t="str">
            <v>Tamil Nadu</v>
          </cell>
          <cell r="I436" t="str">
            <v>Metropolitan</v>
          </cell>
          <cell r="J436" t="str">
            <v>Onsite</v>
          </cell>
          <cell r="M436">
            <v>0</v>
          </cell>
        </row>
        <row r="437">
          <cell r="G437" t="str">
            <v>Tamil Nadu</v>
          </cell>
          <cell r="I437" t="str">
            <v>Urban</v>
          </cell>
          <cell r="J437" t="str">
            <v>Onsite</v>
          </cell>
          <cell r="M437">
            <v>0</v>
          </cell>
        </row>
        <row r="438">
          <cell r="G438" t="str">
            <v>Tamil Nadu</v>
          </cell>
          <cell r="I438" t="str">
            <v>Semi-Urban</v>
          </cell>
          <cell r="J438" t="str">
            <v>Onsite</v>
          </cell>
          <cell r="M438">
            <v>0</v>
          </cell>
        </row>
        <row r="439">
          <cell r="G439" t="str">
            <v>Karnataka</v>
          </cell>
          <cell r="I439" t="str">
            <v>Urban</v>
          </cell>
          <cell r="J439" t="str">
            <v>Onsite</v>
          </cell>
          <cell r="M439">
            <v>0</v>
          </cell>
        </row>
        <row r="440">
          <cell r="G440" t="str">
            <v>Tamil Nadu</v>
          </cell>
          <cell r="I440" t="str">
            <v>Metropolitan</v>
          </cell>
          <cell r="J440" t="str">
            <v>Onsite</v>
          </cell>
          <cell r="M440">
            <v>0</v>
          </cell>
        </row>
        <row r="441">
          <cell r="G441" t="str">
            <v>Karnataka</v>
          </cell>
          <cell r="I441" t="str">
            <v>Urban</v>
          </cell>
          <cell r="J441" t="str">
            <v>Onsite</v>
          </cell>
          <cell r="M441">
            <v>0</v>
          </cell>
        </row>
        <row r="442">
          <cell r="G442" t="str">
            <v>Karnataka</v>
          </cell>
          <cell r="I442" t="str">
            <v>Urban</v>
          </cell>
          <cell r="J442" t="str">
            <v>Onsite</v>
          </cell>
          <cell r="M442">
            <v>0</v>
          </cell>
        </row>
        <row r="443">
          <cell r="G443" t="str">
            <v>Kerala</v>
          </cell>
          <cell r="I443" t="str">
            <v>Urban</v>
          </cell>
          <cell r="J443" t="str">
            <v>Onsite</v>
          </cell>
          <cell r="M443">
            <v>0</v>
          </cell>
        </row>
        <row r="444">
          <cell r="G444" t="str">
            <v>Karnataka</v>
          </cell>
          <cell r="I444" t="str">
            <v>Urban</v>
          </cell>
          <cell r="J444" t="str">
            <v>Onsite</v>
          </cell>
          <cell r="M444">
            <v>0</v>
          </cell>
        </row>
        <row r="445">
          <cell r="G445" t="str">
            <v>Kerala</v>
          </cell>
          <cell r="I445" t="str">
            <v>Urban</v>
          </cell>
          <cell r="J445" t="str">
            <v>Onsite</v>
          </cell>
          <cell r="M445">
            <v>0</v>
          </cell>
        </row>
        <row r="446">
          <cell r="G446" t="str">
            <v>Haryana</v>
          </cell>
          <cell r="I446" t="str">
            <v>Metropolitan</v>
          </cell>
          <cell r="J446" t="str">
            <v>Onsite</v>
          </cell>
          <cell r="M446">
            <v>0</v>
          </cell>
        </row>
        <row r="447">
          <cell r="G447" t="str">
            <v>Uttar Pradesh</v>
          </cell>
          <cell r="I447" t="str">
            <v>Metropolitan</v>
          </cell>
          <cell r="J447" t="str">
            <v>Onsite</v>
          </cell>
          <cell r="M447">
            <v>0</v>
          </cell>
        </row>
        <row r="448">
          <cell r="G448" t="str">
            <v>Rajasthan</v>
          </cell>
          <cell r="I448" t="str">
            <v>Urban</v>
          </cell>
          <cell r="J448" t="str">
            <v>Onsite</v>
          </cell>
          <cell r="M448">
            <v>0</v>
          </cell>
        </row>
        <row r="449">
          <cell r="G449" t="str">
            <v>Uttar Pradesh</v>
          </cell>
          <cell r="I449" t="str">
            <v>Urban</v>
          </cell>
          <cell r="J449" t="str">
            <v>Onsite</v>
          </cell>
          <cell r="M449">
            <v>0</v>
          </cell>
        </row>
        <row r="450">
          <cell r="G450" t="str">
            <v>Uttar Pradesh</v>
          </cell>
          <cell r="I450" t="str">
            <v>Urban</v>
          </cell>
          <cell r="J450" t="str">
            <v>Onsite</v>
          </cell>
          <cell r="M450">
            <v>0</v>
          </cell>
        </row>
        <row r="451">
          <cell r="G451" t="str">
            <v>Uttar Pradesh</v>
          </cell>
          <cell r="I451" t="str">
            <v>Urban</v>
          </cell>
          <cell r="J451" t="str">
            <v>Onsite</v>
          </cell>
          <cell r="M451">
            <v>0</v>
          </cell>
        </row>
        <row r="452">
          <cell r="G452" t="str">
            <v>Punjab</v>
          </cell>
          <cell r="I452" t="str">
            <v>Semi-Urban</v>
          </cell>
          <cell r="J452" t="str">
            <v>Onsite</v>
          </cell>
          <cell r="M452">
            <v>0</v>
          </cell>
        </row>
        <row r="453">
          <cell r="G453" t="str">
            <v>Punjab</v>
          </cell>
          <cell r="I453" t="str">
            <v>Semi-Urban</v>
          </cell>
          <cell r="J453" t="str">
            <v>Onsite</v>
          </cell>
          <cell r="M453">
            <v>0</v>
          </cell>
        </row>
        <row r="454">
          <cell r="G454" t="str">
            <v>Rajasthan</v>
          </cell>
          <cell r="I454" t="str">
            <v>Semi-Urban</v>
          </cell>
          <cell r="J454" t="str">
            <v>Onsite</v>
          </cell>
          <cell r="M454">
            <v>0</v>
          </cell>
        </row>
        <row r="455">
          <cell r="G455" t="str">
            <v>Uttar Pradesh</v>
          </cell>
          <cell r="I455" t="str">
            <v>Metropolitan</v>
          </cell>
          <cell r="J455" t="str">
            <v>Onsite</v>
          </cell>
          <cell r="M455">
            <v>0</v>
          </cell>
        </row>
        <row r="456">
          <cell r="G456" t="str">
            <v>Uttar Pradesh</v>
          </cell>
          <cell r="I456" t="str">
            <v>Metropolitan</v>
          </cell>
          <cell r="J456" t="str">
            <v>Onsite</v>
          </cell>
          <cell r="M456">
            <v>0</v>
          </cell>
        </row>
        <row r="457">
          <cell r="G457" t="str">
            <v>Uttar Pradesh</v>
          </cell>
          <cell r="I457" t="str">
            <v>Metropolitan</v>
          </cell>
          <cell r="J457" t="str">
            <v>Onsite</v>
          </cell>
          <cell r="M457">
            <v>0</v>
          </cell>
        </row>
        <row r="458">
          <cell r="G458" t="str">
            <v>Uttar Pradesh</v>
          </cell>
          <cell r="I458" t="str">
            <v>Metropolitan</v>
          </cell>
          <cell r="J458" t="str">
            <v>Onsite</v>
          </cell>
          <cell r="M458">
            <v>0</v>
          </cell>
        </row>
        <row r="459">
          <cell r="G459" t="str">
            <v>Uttar Pradesh</v>
          </cell>
          <cell r="I459" t="str">
            <v>Metropolitan</v>
          </cell>
          <cell r="J459" t="str">
            <v>Onsite</v>
          </cell>
          <cell r="M459">
            <v>0</v>
          </cell>
        </row>
        <row r="460">
          <cell r="G460" t="str">
            <v>Uttar Pradesh</v>
          </cell>
          <cell r="I460" t="str">
            <v>Metropolitan</v>
          </cell>
          <cell r="J460" t="str">
            <v>Onsite</v>
          </cell>
          <cell r="M460">
            <v>0</v>
          </cell>
        </row>
        <row r="461">
          <cell r="G461" t="str">
            <v>Uttar Pradesh</v>
          </cell>
          <cell r="I461" t="str">
            <v>Metropolitan</v>
          </cell>
          <cell r="J461" t="str">
            <v>Onsite</v>
          </cell>
          <cell r="M461">
            <v>0</v>
          </cell>
        </row>
        <row r="462">
          <cell r="G462" t="str">
            <v>Bihar</v>
          </cell>
          <cell r="I462" t="str">
            <v>Urban</v>
          </cell>
          <cell r="J462" t="str">
            <v>Onsite</v>
          </cell>
          <cell r="M462">
            <v>0</v>
          </cell>
        </row>
        <row r="463">
          <cell r="G463" t="str">
            <v>Assam</v>
          </cell>
          <cell r="I463" t="str">
            <v>Urban</v>
          </cell>
          <cell r="J463" t="str">
            <v>Onsite</v>
          </cell>
          <cell r="M463">
            <v>0</v>
          </cell>
        </row>
        <row r="464">
          <cell r="G464" t="str">
            <v>Bihar</v>
          </cell>
          <cell r="I464" t="str">
            <v>Urban</v>
          </cell>
          <cell r="J464" t="str">
            <v>Onsite</v>
          </cell>
          <cell r="M464">
            <v>0</v>
          </cell>
        </row>
        <row r="465">
          <cell r="G465" t="str">
            <v>Bihar</v>
          </cell>
          <cell r="I465" t="str">
            <v>Urban</v>
          </cell>
          <cell r="J465" t="str">
            <v>Onsite</v>
          </cell>
          <cell r="M465">
            <v>0</v>
          </cell>
        </row>
        <row r="466">
          <cell r="G466" t="str">
            <v>Bihar</v>
          </cell>
          <cell r="I466" t="str">
            <v>Semi-Urban</v>
          </cell>
          <cell r="J466" t="str">
            <v>Onsite</v>
          </cell>
          <cell r="M466">
            <v>0</v>
          </cell>
        </row>
        <row r="467">
          <cell r="G467" t="str">
            <v>West Bengal</v>
          </cell>
          <cell r="I467" t="str">
            <v>Rural</v>
          </cell>
          <cell r="J467" t="str">
            <v>Onsite</v>
          </cell>
          <cell r="M467">
            <v>0</v>
          </cell>
        </row>
        <row r="468">
          <cell r="G468" t="str">
            <v>Bihar</v>
          </cell>
          <cell r="I468" t="str">
            <v>Urban</v>
          </cell>
          <cell r="J468" t="str">
            <v>Onsite</v>
          </cell>
          <cell r="M468">
            <v>0</v>
          </cell>
        </row>
        <row r="469">
          <cell r="G469" t="str">
            <v>Odisha</v>
          </cell>
          <cell r="I469" t="str">
            <v>Rural</v>
          </cell>
          <cell r="J469" t="str">
            <v>Onsite</v>
          </cell>
          <cell r="M469">
            <v>0</v>
          </cell>
        </row>
        <row r="470">
          <cell r="G470" t="str">
            <v>Maharashtra</v>
          </cell>
          <cell r="I470" t="str">
            <v>Metropolitan</v>
          </cell>
          <cell r="J470" t="str">
            <v>Onsite</v>
          </cell>
          <cell r="M470">
            <v>0</v>
          </cell>
        </row>
        <row r="471">
          <cell r="G471" t="str">
            <v>Maharashtra</v>
          </cell>
          <cell r="I471" t="str">
            <v>Metropolitan</v>
          </cell>
          <cell r="J471" t="str">
            <v>Onsite</v>
          </cell>
          <cell r="M471">
            <v>0</v>
          </cell>
        </row>
        <row r="472">
          <cell r="G472" t="str">
            <v>Maharashtra</v>
          </cell>
          <cell r="I472" t="str">
            <v>Metropolitan</v>
          </cell>
          <cell r="J472" t="str">
            <v>Onsite</v>
          </cell>
          <cell r="M472">
            <v>0</v>
          </cell>
        </row>
        <row r="473">
          <cell r="G473" t="str">
            <v>Maharashtra</v>
          </cell>
          <cell r="I473" t="str">
            <v>Metropolitan</v>
          </cell>
          <cell r="J473" t="str">
            <v>Onsite</v>
          </cell>
          <cell r="M473">
            <v>0</v>
          </cell>
        </row>
        <row r="474">
          <cell r="G474" t="str">
            <v>Gujarat</v>
          </cell>
          <cell r="I474" t="str">
            <v>Metropolitan</v>
          </cell>
          <cell r="J474" t="str">
            <v>Onsite</v>
          </cell>
          <cell r="M474">
            <v>0</v>
          </cell>
        </row>
        <row r="475">
          <cell r="G475" t="str">
            <v>Gujarat</v>
          </cell>
          <cell r="I475" t="str">
            <v>Metropolitan</v>
          </cell>
          <cell r="J475" t="str">
            <v>Onsite</v>
          </cell>
          <cell r="M475">
            <v>0</v>
          </cell>
        </row>
        <row r="476">
          <cell r="G476" t="str">
            <v>Maharashtra</v>
          </cell>
          <cell r="I476" t="str">
            <v>Metropolitan</v>
          </cell>
          <cell r="J476" t="str">
            <v>Onsite</v>
          </cell>
          <cell r="M476">
            <v>0</v>
          </cell>
        </row>
        <row r="477">
          <cell r="G477" t="str">
            <v>Maharashtra</v>
          </cell>
          <cell r="I477" t="str">
            <v>Metropolitan</v>
          </cell>
          <cell r="J477" t="str">
            <v>Onsite</v>
          </cell>
          <cell r="M477">
            <v>0</v>
          </cell>
        </row>
        <row r="478">
          <cell r="G478" t="str">
            <v>Maharashtra</v>
          </cell>
          <cell r="I478" t="str">
            <v>Metropolitan</v>
          </cell>
          <cell r="J478" t="str">
            <v>Onsite</v>
          </cell>
          <cell r="M478">
            <v>0</v>
          </cell>
        </row>
        <row r="479">
          <cell r="G479" t="str">
            <v>Gujarat</v>
          </cell>
          <cell r="I479" t="str">
            <v>Metropolitan</v>
          </cell>
          <cell r="J479" t="str">
            <v>Onsite</v>
          </cell>
          <cell r="M479">
            <v>0</v>
          </cell>
        </row>
        <row r="480">
          <cell r="G480" t="str">
            <v>Gujarat</v>
          </cell>
          <cell r="I480" t="str">
            <v>Semi-Urban</v>
          </cell>
          <cell r="J480" t="str">
            <v>Onsite</v>
          </cell>
          <cell r="M480">
            <v>0</v>
          </cell>
        </row>
        <row r="481">
          <cell r="G481" t="str">
            <v>Maharashtra</v>
          </cell>
          <cell r="I481" t="str">
            <v>Urban</v>
          </cell>
          <cell r="J481" t="str">
            <v>Onsite</v>
          </cell>
          <cell r="M481">
            <v>0</v>
          </cell>
        </row>
        <row r="482">
          <cell r="G482" t="str">
            <v>Gujarat</v>
          </cell>
          <cell r="I482" t="str">
            <v>Metropolitan</v>
          </cell>
          <cell r="J482" t="str">
            <v>Onsite</v>
          </cell>
          <cell r="M482">
            <v>0</v>
          </cell>
        </row>
        <row r="483">
          <cell r="G483" t="str">
            <v>Maharashtra</v>
          </cell>
          <cell r="I483" t="str">
            <v>Urban</v>
          </cell>
          <cell r="J483" t="str">
            <v>Onsite</v>
          </cell>
          <cell r="M483">
            <v>0</v>
          </cell>
        </row>
        <row r="484">
          <cell r="G484" t="str">
            <v>Gujarat</v>
          </cell>
          <cell r="I484" t="str">
            <v>Urban</v>
          </cell>
          <cell r="J484" t="str">
            <v>Onsite</v>
          </cell>
          <cell r="M484">
            <v>0</v>
          </cell>
        </row>
        <row r="485">
          <cell r="G485" t="str">
            <v>Gujarat</v>
          </cell>
          <cell r="I485" t="str">
            <v>Metropolitan</v>
          </cell>
          <cell r="J485" t="str">
            <v>Onsite</v>
          </cell>
          <cell r="M485">
            <v>0</v>
          </cell>
        </row>
        <row r="486">
          <cell r="G486" t="str">
            <v>Gujarat</v>
          </cell>
          <cell r="I486" t="str">
            <v>Urban</v>
          </cell>
          <cell r="J486" t="str">
            <v>Onsite</v>
          </cell>
          <cell r="M486">
            <v>0</v>
          </cell>
        </row>
        <row r="487">
          <cell r="G487" t="str">
            <v>Gujarat</v>
          </cell>
          <cell r="I487" t="str">
            <v>Urban</v>
          </cell>
          <cell r="J487" t="str">
            <v>Onsite</v>
          </cell>
          <cell r="M487">
            <v>0</v>
          </cell>
        </row>
        <row r="488">
          <cell r="G488" t="str">
            <v>Bihar</v>
          </cell>
          <cell r="I488" t="str">
            <v>Rural</v>
          </cell>
          <cell r="J488" t="str">
            <v>Onsite</v>
          </cell>
          <cell r="M488">
            <v>0</v>
          </cell>
        </row>
        <row r="489">
          <cell r="G489" t="str">
            <v>Bihar</v>
          </cell>
          <cell r="I489" t="str">
            <v>Rural</v>
          </cell>
          <cell r="J489" t="str">
            <v>Onsite</v>
          </cell>
          <cell r="M489">
            <v>0</v>
          </cell>
        </row>
        <row r="490">
          <cell r="G490" t="str">
            <v>Bihar</v>
          </cell>
          <cell r="I490" t="str">
            <v>Rural</v>
          </cell>
          <cell r="J490" t="str">
            <v>Onsite</v>
          </cell>
          <cell r="M490">
            <v>0</v>
          </cell>
        </row>
        <row r="491">
          <cell r="G491" t="str">
            <v>West Bengal</v>
          </cell>
          <cell r="I491" t="str">
            <v>Rural</v>
          </cell>
          <cell r="J491" t="str">
            <v>Onsite</v>
          </cell>
          <cell r="M491">
            <v>0</v>
          </cell>
        </row>
        <row r="492">
          <cell r="G492" t="str">
            <v>West Bengal</v>
          </cell>
          <cell r="I492" t="str">
            <v>Rural</v>
          </cell>
          <cell r="J492" t="str">
            <v>Onsite</v>
          </cell>
          <cell r="M49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EF23C-0557-448E-B708-B631DC369AF3}">
  <dimension ref="A1:H26"/>
  <sheetViews>
    <sheetView workbookViewId="0">
      <selection activeCell="G1" sqref="G1:H26"/>
    </sheetView>
  </sheetViews>
  <sheetFormatPr defaultRowHeight="14.25" x14ac:dyDescent="0.45"/>
  <sheetData>
    <row r="1" spans="1:8" x14ac:dyDescent="0.45">
      <c r="A1" s="1" t="s">
        <v>0</v>
      </c>
      <c r="B1" s="2">
        <f>COUNTIF([1]Sheet1!$J:$J,"Onsite")</f>
        <v>488</v>
      </c>
      <c r="D1" s="4" t="s">
        <v>3</v>
      </c>
      <c r="E1" s="4" t="s">
        <v>4</v>
      </c>
      <c r="G1" s="5" t="s">
        <v>9</v>
      </c>
      <c r="H1" s="5" t="s">
        <v>4</v>
      </c>
    </row>
    <row r="2" spans="1:8" x14ac:dyDescent="0.45">
      <c r="A2" s="1" t="s">
        <v>1</v>
      </c>
      <c r="B2" s="2">
        <f>COUNTIF([1]Sheet1!$J:$J,"offsite")</f>
        <v>3</v>
      </c>
      <c r="D2" s="2" t="s">
        <v>5</v>
      </c>
      <c r="E2" s="2">
        <f>COUNTIF([1]Sheet1!$I:$I,"Urban")</f>
        <v>176</v>
      </c>
      <c r="G2" s="2" t="s">
        <v>10</v>
      </c>
      <c r="H2" s="2">
        <f>COUNTIF([1]Sheet1!$G:$G,"Assam")</f>
        <v>18</v>
      </c>
    </row>
    <row r="3" spans="1:8" x14ac:dyDescent="0.45">
      <c r="A3" s="3" t="s">
        <v>2</v>
      </c>
      <c r="B3" s="3">
        <f>SUM(B1:B2)</f>
        <v>491</v>
      </c>
      <c r="D3" s="2" t="s">
        <v>6</v>
      </c>
      <c r="E3" s="2">
        <f>COUNTIF([1]Sheet1!$I:$I,"Semi-Urban")</f>
        <v>152</v>
      </c>
      <c r="G3" s="2" t="s">
        <v>11</v>
      </c>
      <c r="H3" s="2">
        <f>COUNTIF([1]Sheet1!$G:$G,"Bihar")</f>
        <v>37</v>
      </c>
    </row>
    <row r="4" spans="1:8" x14ac:dyDescent="0.45">
      <c r="D4" s="2" t="s">
        <v>7</v>
      </c>
      <c r="E4" s="2">
        <f>COUNTIF([1]Sheet1!$I:$I,"Rural")</f>
        <v>46</v>
      </c>
      <c r="G4" s="2" t="s">
        <v>12</v>
      </c>
      <c r="H4" s="2">
        <f>COUNTIF([1]Sheet1!$G:$G,"Chandigarh(UT)")</f>
        <v>1</v>
      </c>
    </row>
    <row r="5" spans="1:8" x14ac:dyDescent="0.45">
      <c r="D5" s="2" t="s">
        <v>8</v>
      </c>
      <c r="E5" s="2">
        <f>COUNTIF([1]Sheet1!$I:$I,"Metropolitan")</f>
        <v>117</v>
      </c>
      <c r="G5" s="2" t="s">
        <v>13</v>
      </c>
      <c r="H5" s="2">
        <f>COUNTIF([1]Sheet1!$G:$G,"Chhattisgarh")</f>
        <v>4</v>
      </c>
    </row>
    <row r="6" spans="1:8" x14ac:dyDescent="0.45">
      <c r="D6" s="3" t="s">
        <v>2</v>
      </c>
      <c r="E6" s="3">
        <f>SUM(E2:E5)</f>
        <v>491</v>
      </c>
      <c r="G6" s="2" t="s">
        <v>14</v>
      </c>
      <c r="H6" s="2">
        <f>COUNTIF([1]Sheet1!$G:$G,"Goa")</f>
        <v>2</v>
      </c>
    </row>
    <row r="7" spans="1:8" x14ac:dyDescent="0.45">
      <c r="G7" s="2" t="s">
        <v>15</v>
      </c>
      <c r="H7" s="2">
        <f>COUNTIF([1]Sheet1!$G:$G,"Gujarat")</f>
        <v>31</v>
      </c>
    </row>
    <row r="8" spans="1:8" x14ac:dyDescent="0.45">
      <c r="G8" s="2" t="s">
        <v>16</v>
      </c>
      <c r="H8" s="2">
        <f>COUNTIF([1]Sheet1!$G:$G,"Haryana")</f>
        <v>26</v>
      </c>
    </row>
    <row r="9" spans="1:8" x14ac:dyDescent="0.45">
      <c r="G9" s="2" t="s">
        <v>17</v>
      </c>
      <c r="H9" s="2">
        <f>COUNTIF([1]Sheet1!$G:$G,"Himachal Pradesh")</f>
        <v>1</v>
      </c>
    </row>
    <row r="10" spans="1:8" x14ac:dyDescent="0.45">
      <c r="G10" s="2" t="s">
        <v>18</v>
      </c>
      <c r="H10" s="2">
        <f>COUNTIF([1]Sheet1!$G:$G,"Jharkhand")</f>
        <v>14</v>
      </c>
    </row>
    <row r="11" spans="1:8" x14ac:dyDescent="0.45">
      <c r="G11" s="2" t="s">
        <v>19</v>
      </c>
      <c r="H11" s="2">
        <f>COUNTIF([1]Sheet1!$G:$G,"Karnataka")</f>
        <v>66</v>
      </c>
    </row>
    <row r="12" spans="1:8" x14ac:dyDescent="0.45">
      <c r="G12" s="2" t="s">
        <v>20</v>
      </c>
      <c r="H12" s="2">
        <f>COUNTIF([1]Sheet1!$G:$G,"Kerala")</f>
        <v>15</v>
      </c>
    </row>
    <row r="13" spans="1:8" x14ac:dyDescent="0.45">
      <c r="G13" s="2" t="s">
        <v>21</v>
      </c>
      <c r="H13" s="2">
        <f>COUNTIF([1]Sheet1!$G:$G,"Madhya Pradesh")</f>
        <v>11</v>
      </c>
    </row>
    <row r="14" spans="1:8" x14ac:dyDescent="0.45">
      <c r="G14" s="2" t="s">
        <v>22</v>
      </c>
      <c r="H14" s="2">
        <f>COUNTIF([1]Sheet1!$G:$G,"Maharashtra")</f>
        <v>41</v>
      </c>
    </row>
    <row r="15" spans="1:8" x14ac:dyDescent="0.45">
      <c r="G15" s="2" t="s">
        <v>23</v>
      </c>
      <c r="H15" s="2">
        <f>COUNTIF([1]Sheet1!$G:$G,"Meghalaya")</f>
        <v>1</v>
      </c>
    </row>
    <row r="16" spans="1:8" x14ac:dyDescent="0.45">
      <c r="G16" s="2" t="s">
        <v>24</v>
      </c>
      <c r="H16" s="2">
        <f>COUNTIF([1]Sheet1!$G:$G,"New Delhi")</f>
        <v>8</v>
      </c>
    </row>
    <row r="17" spans="7:8" x14ac:dyDescent="0.45">
      <c r="G17" s="2" t="s">
        <v>25</v>
      </c>
      <c r="H17" s="2">
        <f>COUNTIF([1]Sheet1!$G:$G,"Odisha")</f>
        <v>14</v>
      </c>
    </row>
    <row r="18" spans="7:8" x14ac:dyDescent="0.45">
      <c r="G18" s="2" t="s">
        <v>26</v>
      </c>
      <c r="H18" s="2">
        <f>COUNTIF([1]Sheet1!$G:$G,"Pondicherry")</f>
        <v>1</v>
      </c>
    </row>
    <row r="19" spans="7:8" x14ac:dyDescent="0.45">
      <c r="G19" s="2" t="s">
        <v>27</v>
      </c>
      <c r="H19" s="2">
        <f>COUNTIF([1]Sheet1!$G:$G,"Punjab")</f>
        <v>16</v>
      </c>
    </row>
    <row r="20" spans="7:8" x14ac:dyDescent="0.45">
      <c r="G20" s="2" t="s">
        <v>28</v>
      </c>
      <c r="H20" s="2">
        <f>COUNTIF([1]Sheet1!$G:$G,"Rajasthan")</f>
        <v>21</v>
      </c>
    </row>
    <row r="21" spans="7:8" x14ac:dyDescent="0.45">
      <c r="G21" s="2" t="s">
        <v>29</v>
      </c>
      <c r="H21" s="2">
        <f>COUNTIF([1]Sheet1!$G:$G,"Tamil Nadu")</f>
        <v>61</v>
      </c>
    </row>
    <row r="22" spans="7:8" x14ac:dyDescent="0.45">
      <c r="G22" s="2" t="s">
        <v>30</v>
      </c>
      <c r="H22" s="2">
        <f>COUNTIF([1]Sheet1!$G:$G,"Tripura")</f>
        <v>8</v>
      </c>
    </row>
    <row r="23" spans="7:8" x14ac:dyDescent="0.45">
      <c r="G23" s="2" t="s">
        <v>31</v>
      </c>
      <c r="H23" s="2">
        <f>COUNTIF([1]Sheet1!$G:$G,"Uttar Pradesh")</f>
        <v>29</v>
      </c>
    </row>
    <row r="24" spans="7:8" x14ac:dyDescent="0.45">
      <c r="G24" s="2" t="s">
        <v>32</v>
      </c>
      <c r="H24" s="2">
        <f>COUNTIF([1]Sheet1!$G:$G,"Uttarakhand")</f>
        <v>4</v>
      </c>
    </row>
    <row r="25" spans="7:8" x14ac:dyDescent="0.45">
      <c r="G25" s="2" t="s">
        <v>33</v>
      </c>
      <c r="H25" s="2">
        <f>COUNTIF([1]Sheet1!$G:$G,"West Bengal")</f>
        <v>61</v>
      </c>
    </row>
    <row r="26" spans="7:8" x14ac:dyDescent="0.45">
      <c r="G26" s="3" t="s">
        <v>2</v>
      </c>
      <c r="H26" s="3">
        <f>SUM(H2:H25)</f>
        <v>491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DCFAE-6C54-423B-816E-1A3485AA000E}">
  <dimension ref="A1:F2"/>
  <sheetViews>
    <sheetView tabSelected="1" workbookViewId="0">
      <selection activeCell="F3" sqref="F3"/>
    </sheetView>
  </sheetViews>
  <sheetFormatPr defaultRowHeight="14.25" x14ac:dyDescent="0.45"/>
  <sheetData>
    <row r="1" spans="1:6" x14ac:dyDescent="0.4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2</v>
      </c>
    </row>
    <row r="2" spans="1:6" x14ac:dyDescent="0.45">
      <c r="A2" t="s">
        <v>4</v>
      </c>
      <c r="B2">
        <f>COUNTIF([1]Sheet1!$M:$M,"1")</f>
        <v>18</v>
      </c>
      <c r="C2">
        <f>COUNTIF([1]Sheet1!$M:$M,"2")</f>
        <v>8</v>
      </c>
      <c r="D2">
        <f>COUNTIF([1]Sheet1!$M:$M,"3")</f>
        <v>28</v>
      </c>
      <c r="E2">
        <f>COUNTIF([1]Sheet1!$M:$M,"4")</f>
        <v>6</v>
      </c>
      <c r="F2">
        <f>SUM(B2:E2)</f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Navin Maurya</dc:creator>
  <cp:lastModifiedBy>Navin Maurya</cp:lastModifiedBy>
  <dcterms:created xsi:type="dcterms:W3CDTF">2022-01-17T11:29:38Z</dcterms:created>
  <dcterms:modified xsi:type="dcterms:W3CDTF">2022-01-17T11:29:41Z</dcterms:modified>
</cp:coreProperties>
</file>